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shboard\Dashboard\Template\"/>
    </mc:Choice>
  </mc:AlternateContent>
  <xr:revisionPtr revIDLastSave="0" documentId="13_ncr:1_{09BC91AC-DDA3-4D80-8A19-09FA6A290BBB}" xr6:coauthVersionLast="47" xr6:coauthVersionMax="47" xr10:uidLastSave="{00000000-0000-0000-0000-000000000000}"/>
  <bookViews>
    <workbookView xWindow="-120" yWindow="-120" windowWidth="29040" windowHeight="15840" tabRatio="872" activeTab="1" xr2:uid="{00000000-000D-0000-FFFF-FFFF00000000}"/>
  </bookViews>
  <sheets>
    <sheet name="คำชี้แจงการการบันทึกข้อมูล" sheetId="1" r:id="rId1"/>
    <sheet name="ยุทธ์1-4" sheetId="10" r:id="rId2"/>
  </sheets>
  <definedNames>
    <definedName name="_xlnm.Print_Titles" localSheetId="1">'ยุทธ์1-4'!#REF!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4" i="10" l="1"/>
  <c r="D133" i="10"/>
  <c r="K75" i="10"/>
  <c r="J75" i="10"/>
  <c r="I75" i="10"/>
  <c r="H75" i="10"/>
  <c r="K66" i="10"/>
  <c r="J66" i="10"/>
  <c r="I66" i="10"/>
  <c r="H66" i="10"/>
</calcChain>
</file>

<file path=xl/sharedStrings.xml><?xml version="1.0" encoding="utf-8"?>
<sst xmlns="http://schemas.openxmlformats.org/spreadsheetml/2006/main" count="642" uniqueCount="444">
  <si>
    <t>คำชี้แจงการบันทึกข้อมูล MUKPI ประจำปีงบประมาณ พ.ศ. 2569</t>
  </si>
  <si>
    <t>1.</t>
  </si>
  <si>
    <t>ข้อมูลที่ส่วนงานจะต้องบันทึกประกอบด้วย</t>
  </si>
  <si>
    <t>1) เอกสารหมายเลข 2 : 
  การรายงานผลการดำเนินงานตามตัวชี้วัดแผนยุทธศาสตร์มหาวิทยาลัย ประจำปีงบประมาณ พ.ศ. 2569</t>
  </si>
  <si>
    <t>2) เอกสารแนบตัวชี้วัด :
  สำหรับรายงานรายละเอียดข้อมูลของตัวชี้วัดแต่ละตัว ดังนี้ 1.1, 1.2, 1.3, 1.7, 1.8, 1.9, 2.19, 3.1, 3.2, 3.3, 3.4, 3.5, 4.11</t>
  </si>
  <si>
    <t>2.</t>
  </si>
  <si>
    <t>วิธีการบันทึกข้อมูล</t>
  </si>
  <si>
    <t>1) เอกสารหมายเลข 2</t>
  </si>
  <si>
    <t>- บันทึกรายงานผลการดำเนินงาน ในช่องสีฟ้าเท่านั้น ส่วนงานไม่สามารถแก้ไข, จัดทำแบบฟอร์มในรูปแบบใหม่ หรือ เปลี่ยนแปลงรายละเอียดอื่นๆ 
ของข้อมูลได้ เช่น การแทรกเซลล์ การเปลี่ยนแปลงหน่วยนับ กรณีที่แบบฟอร์มของส่วนงานส่งไม่ใช่แบบฟอร์มของกองแผนงาน จะไม่ถือว่าเป็น
การรายงานผลจากส่วนงาน</t>
  </si>
  <si>
    <t>ตัวอย่าง</t>
  </si>
  <si>
    <t>ตัวชี้วัด A มีผลการดำเนินงาน ดังนี้</t>
  </si>
  <si>
    <t>เดือนธันวาคม 2568</t>
  </si>
  <si>
    <t>ผลการดำเนินงาน</t>
  </si>
  <si>
    <t>โครงการ</t>
  </si>
  <si>
    <t>เดือนมีนาคม 2569</t>
  </si>
  <si>
    <t>เดือนมิถุนายน 2569</t>
  </si>
  <si>
    <t>เดือนกันยายน 2569</t>
  </si>
  <si>
    <t>ให้รายงานผล ดังนี้</t>
  </si>
  <si>
    <t>ตัวชี้วัด</t>
  </si>
  <si>
    <t>หน่วยนับ</t>
  </si>
  <si>
    <t>เดือนธันวาคม 25..</t>
  </si>
  <si>
    <t>เดือนมีนาคม 25..</t>
  </si>
  <si>
    <t>เดือนมิถุนายน 25..</t>
  </si>
  <si>
    <t>เดือนกันยายน 25..</t>
  </si>
  <si>
    <t>A</t>
  </si>
  <si>
    <t>4
 (3+1)</t>
  </si>
  <si>
    <t>8
 (3+1+4)</t>
  </si>
  <si>
    <t>16
 (3+1+4+8)</t>
  </si>
  <si>
    <t>- ตัวชี้วัดที่ 4.4 ให้ส่วนงานเลือกใส่เพียง 2 ตัวเลือก ได้แก่ "มี" หรือ "ไม่มี" เท่านั้น</t>
  </si>
  <si>
    <t>- ตัวชี้วัดที่ 4.11.1 และ 4.11.2 ให้ส่วนงานเลือกใส่เพียง 2 ตัวเลือก ได้แก่ "เป็นบวก" หรือ "เป็นลบ" เท่านั้น</t>
  </si>
  <si>
    <t>- การรายงานผลของไตรมาสที่ 3 (เดือนมิถุนายน) ขอให้ส่วนงานระบุทุกตัวชี้วัดที่ส่วนงานจะต้องรายงาน</t>
  </si>
  <si>
    <t>เพื่อเป็นข้อมูลประกอบการจัดทำข้อตกลงการปฏิบัติงานของส่วนงาน (PA) ประจำปีงบประมาณ พ.ศ. 2569</t>
  </si>
  <si>
    <t>ไปจนถึงระยะเวลาสิ้นสุดข้อมูล (ไตรมาสที่ 1 ของปี 2570) คือ ตั้งแต่เดือน มกราคม - ธันวาคม 2569</t>
  </si>
  <si>
    <t>3) เอกสารแนบตัวชี้วัด</t>
  </si>
  <si>
    <t>- ส่วนงานต้องบันทึกรายละเอียดข้อมูลของตัวชี้วัดแต่ละตัวตามที่รายงานข้อมูลในเอกสารหมายเลข 2 ทุกตัวชี้วัด โดยที่ส่วนงานจะต้องตรวจสอบ
  ความถูกต้องและความสอดคล้องทุกครั้งก่อนที่จะส่งเอกสาร</t>
  </si>
  <si>
    <t>- การกรอกรายละเอียดข้อมูลเอกสารแนบในแต่ละไตรมาส ขอให้กรอกข้อมูลในไฟล์เดิมทุกครั้ง โดยรวมข้อมูลสะสมกับไตรมาสก่อนหน้า</t>
  </si>
  <si>
    <t>- กรณีที่ส่วนงานรายงานผลตัวชี้วัดที่ 3.1 และ 3.2 ขอให้ส่วนงานแสดงหลักฐานอ้างหรือหลักฐานเชิงประจักษ์เป็นไฟล์ PDF ส่งมาพร้อมกับเอกสารแนบ
  (สามารถ Download เอกสารเพิ่มเติมได้ที่หน้าเว็บไซต์กองแผนงาน)</t>
  </si>
  <si>
    <t>** เอกสารทุก Sheet ขอให้ส่วนงานระบุชื่อส่วนงาน และ ชื่อผู้กรอกข้อมูลพร้อมทั้งรายละเอียดให้ครบถ้วน</t>
  </si>
  <si>
    <t>ทั้งเบอร์ติดต่อ และ email **</t>
  </si>
  <si>
    <t>3.</t>
  </si>
  <si>
    <t>การแก้ไขข้อมูลในเอกสารหมายเลข 1 และ 2</t>
  </si>
  <si>
    <t>- ข้อมูลในแต่ละไตรมาสเมื่อส่งมายังกองแผนงานแล้ว จะไม่สามารถแก้ไขหรือเปลี่ยนแปลงข้อมูลได้ หากประสงค์จะเปลี่ยนแปลงข้อมูล 
ทั้งเอกสารหมายเลข 1 (เฉพาะกรณีที่กรอกข้อมูลผิดไปจากการกำหนดเป้าหมายใน PA) และ เอกสารหมายเลข 2 ขอให้ส่วนงานทำหนังสือ 
ลงนามโดยหัวหน้าส่วนงานเพื่อแจ้งรองอธิการบดีที่รับผิดชอบฯ พิจารณาอนุมัติให้แก้ไขข้อมูล</t>
  </si>
  <si>
    <t>- ขอให้กรอกชื่อส่วนงาน และชื่อผู้รับผิดชอบในการรายงานทุกครั้ง และทุก Sheet พร้อมทั้งระบุ เบอร์โทรศัพท์และ Email 
ที่ติดต่อได้เพื่อการติดต่อกลับกรณีมีข้อสงสัย</t>
  </si>
  <si>
    <t>4.</t>
  </si>
  <si>
    <t>Sheet เอกสาร ประเมินผลการดำเนินงาน (ไตรมาสที่ 1 - 4 และ 1 ปี)</t>
  </si>
  <si>
    <t>- เอกสารประเมินผลการดำเนินงาน เป็นส่วนที่กองแผนงานจัดทำขึ้นเพื่อให้ส่วนงานสามารถติดตามและประเมินผลการดำเนินงานในส่วนของตัวชี้วัด
   ที่ส่วนงานรายงานผล ส่วนงานไม่สามารถแก้ไขใดๆ หน้านี้เอกสารทั้ง 4 ไตรมาส เนื่องจากได้มีการผูกเชื่อมโยงกับเอกสารหมายเลข 1 และ 2 
   โดยแบ่งเกณฑ์ผลการดำเนินงานเป็น 3 ระดับ ได้แก่</t>
  </si>
  <si>
    <t xml:space="preserve">   หมายถึง มีผลการดำเนินงานเปรียบเทียบกับค่าเป้าหมายเท่ากับหรือมากกว่าร้อยละ 90</t>
  </si>
  <si>
    <t xml:space="preserve">   หมายถึง มีผลการดำเนินงานเปรียบเทียบกับค่าเป้าหมายระหว่างร้อยละ 70 - 89</t>
  </si>
  <si>
    <t xml:space="preserve">   หมายถึง มีผลการดำเนินงานเปรียบเทียบกับค่าเป้าหมายน้อยกว่าร้อยละ 70</t>
  </si>
  <si>
    <t>5.</t>
  </si>
  <si>
    <t>การส่งข้อมูล</t>
  </si>
  <si>
    <t>- ขอให้ส่วนงานบันทึกไฟล์การรายงานผลจากไฟล์ที่กองแผนงานแชร์ไว้ใน Google Drive เท่านั้น 
  โดยกองแผนงานกำหนดปิดการบันทึกข้อมูลของส่วนงาน ดังนี้
  ไตรมาส 1 (ตุลาคม - ธันวาคม 2568) ปิดการบันทึกข้อมูล ภายในวันที่ 8  มกราคม 2569
  ไตรมาส 2 (ตุลาคม 2568 - มีนาคม 2569) ปิดการบันทึกข้อมูล ภายในวันที่  8  เมษายน  2569
  ไตรมาส 3 (ตุลาคม 2568 - มิถุนายน 2569) ปิดการบันทึกข้อมูล ภายในวันที่  8  กรกฎาคม  2569
  ไตรมาส 4 (ตุลาคม 2568 - กันยายน 2569) ปิดการบันทึกข้อมูล ภายในวันที่  8  ตุลาคม  2569
  ไตรมาส 1 ปีงบประมาณ 2570 (เฉพาะตัวชี้วัดที่เกี่ยวข้องกับวิจัย) ปิดการรับข้อมูล ภายในวันที่ 8 มกราคม 2570</t>
  </si>
  <si>
    <t>- ขอให้ส่วนงานบันทึกไฟล์เอกสารแนบตัวชี้วัดที่กองแผนงานแชร์ไว้ใน Google Drive เท่านั้น 
  กรณีที่มีเอกสารแนบ เพิ่มเติม  (ไฟล์ PDF) ขอให้ส่วนงาน Upload ไฟล์ในโฟลเดอร์ เอกสารแนบเพิ่มเติม_(ชื่อส่วนงาน) โดยตั้งชื่อไฟล์ 
  ตามตัวชี้วัดที่แนบพร้อมชื่อเรื่อง ตัวอย่าง เอกสารแนบตัวชี้วัดที่....._(ชื่อเรื่อง)</t>
  </si>
  <si>
    <t>- เมื่อส่วนงานบันทึกไฟล์รายงานผลและเอกสารแนบแต่ละไตรมาสเรียบร้อยแล้วขอให้ส่วนงานส่ง E-mail ยืนยันข้อมูลมาที่ 
  pavisit.oppl@gmail.com</t>
  </si>
  <si>
    <t>Total International Publications</t>
  </si>
  <si>
    <t>เรื่อง</t>
  </si>
  <si>
    <t>ปีปฏิทิน 2569</t>
  </si>
  <si>
    <t>Number International Publications in Q1 Journal</t>
  </si>
  <si>
    <t>Number of International Publications in Top 10 Journal</t>
  </si>
  <si>
    <t>Number of Publications with Academic-Corporate Collaboration</t>
  </si>
  <si>
    <t>จำนวนผลงานวิจัยหรือทรัพย์สินทางปัญญาที่ใช้ในเชิงพาณิชย์</t>
  </si>
  <si>
    <t>iNT</t>
  </si>
  <si>
    <t>บริษัท</t>
  </si>
  <si>
    <t>Field-Weighted Citation Impact (FWCI)</t>
  </si>
  <si>
    <t>-</t>
  </si>
  <si>
    <t>กองบริหารงานวิจัย</t>
  </si>
  <si>
    <t>Number of International Publications in Top 1 Journal</t>
  </si>
  <si>
    <t>Number of Publications with International Collaboration</t>
  </si>
  <si>
    <t>บาท</t>
  </si>
  <si>
    <t>ยุทธศาสตร์ที่ 2 Innovative Education and Authentic Learning</t>
  </si>
  <si>
    <t>คน</t>
  </si>
  <si>
    <t>กองบริหารการศึกษา</t>
  </si>
  <si>
    <t>ร้อยละของหลักสูตรที่ได้รับการรับรองคุณภาพตามมาตรฐานระดับสากล</t>
  </si>
  <si>
    <t>ร้อยละ</t>
  </si>
  <si>
    <t>กองพัฒนาคุณภาพ</t>
  </si>
  <si>
    <t>หลักสูตร</t>
  </si>
  <si>
    <t>บัณฑิตวิทยาลัย</t>
  </si>
  <si>
    <t>ปีการศึกษา 2568</t>
  </si>
  <si>
    <t>จำนวนหลักสูตรได้รับการรับรอง International Accreditation เฉพาะสาขา</t>
  </si>
  <si>
    <t xml:space="preserve">จำนวนหลักสูตรรับรองทักษะและสมรรถนะ (Non-degree/Credentials) </t>
  </si>
  <si>
    <t xml:space="preserve">โครงสร้างหลักสูตรระดับปริญญาตรี มีแผนการศึกษาที่ยืดหยุ่น </t>
  </si>
  <si>
    <t>2.10</t>
  </si>
  <si>
    <t xml:space="preserve">จำนวนความร่วมมือหรือโครงการด้าน AI and Education </t>
  </si>
  <si>
    <t>2.11</t>
  </si>
  <si>
    <t xml:space="preserve">จำนวนหน่วยการเรียนรู้ที่ขึ้นทะเบียนในระบบคลังหน่วยกิต มหาวิทยาลัยมหิดล </t>
  </si>
  <si>
    <t>ชั่วโมง</t>
  </si>
  <si>
    <t>กองกิจการนักศึกษา</t>
  </si>
  <si>
    <t>จำนวนศิษย์เก่าที่มีส่วนร่วมกับกิจกรรมพัฒนามหาวิทยาลัย</t>
  </si>
  <si>
    <t>จำนวนนักศึกษาที่มีการแลกเปลี่ยนทั้ง inbound และ outbound</t>
  </si>
  <si>
    <t>ส่วนงาน</t>
  </si>
  <si>
    <t>ยุทธศาสตร์ที่ 3 Policy Advocacy, Leaders in Professional / Academic Services and Excellence in Capacity Building for Sustainable Development Goals</t>
  </si>
  <si>
    <t>จำนวนนโยบายชี้นำสังคมของมหาวิทยาลัยที่สำคัญระดับชาติและนานาชาติ</t>
  </si>
  <si>
    <t>ส่วนงาน/
กองวิเทศสัมพันธ์</t>
  </si>
  <si>
    <t>ร้อยละของหน่วยบริการวิชาการที่ได้รับใบรับรองมาตรฐานระดับชาติและนานาชาติ</t>
  </si>
  <si>
    <t>จำนวนมาตรฐานคุณภาพระดับชาติและระดับสากลที่ถูกสร้างโดย 
ส่วนงาน/มหาวิทยาลัย</t>
  </si>
  <si>
    <t>มาตรฐาน</t>
  </si>
  <si>
    <t>กองกายภาพและสิ่งแวดล้อม</t>
  </si>
  <si>
    <t>ระดับ</t>
  </si>
  <si>
    <t>กองกฎหมาย</t>
  </si>
  <si>
    <t>วัน</t>
  </si>
  <si>
    <t>THE Impact Rankings</t>
  </si>
  <si>
    <t>ลำดับที่</t>
  </si>
  <si>
    <t>กองแผนงาน</t>
  </si>
  <si>
    <t>Green University Rankings</t>
  </si>
  <si>
    <t>Healthy University Rating System (HURS)</t>
  </si>
  <si>
    <t>4.10</t>
  </si>
  <si>
    <t>ประสิทธิภาพการใช้งบประมาณ เมื่อจบปีงบประมาณ</t>
  </si>
  <si>
    <t>4.11</t>
  </si>
  <si>
    <t>ประสิทธิภาพการดำเนินงานด้านการเงิน</t>
  </si>
  <si>
    <t>ส่วนงาน/กองคลัง</t>
  </si>
  <si>
    <t>ศูนย์ COSHEM</t>
  </si>
  <si>
    <t>ความสำเร็จของกิจกรรมส่งเสริมค่านิยมองค์กร (Core Values)</t>
  </si>
  <si>
    <t>ระดับความสำเร็จของการดำเนินการตามแผนยุทธศาสตร์ด้าน PR และภาพลักษณ์</t>
  </si>
  <si>
    <t>งานสื่อสารองค์กร
กองบริหารงานทั่วไป</t>
  </si>
  <si>
    <t>ศูนย์บริหารสินทรัพย์</t>
  </si>
  <si>
    <t>ความผาสุกและสุขภาพของบุคลากร (Well-being)</t>
  </si>
  <si>
    <t>กองทรัพยากรบุคคล</t>
  </si>
  <si>
    <t>RE6901001</t>
  </si>
  <si>
    <t>ส่วนงาน/ 
กองบริหารงานวิจัย</t>
  </si>
  <si>
    <t>1.1</t>
  </si>
  <si>
    <t>RE6901004</t>
  </si>
  <si>
    <t>1.2</t>
  </si>
  <si>
    <t>RE6901007</t>
  </si>
  <si>
    <t>1.3</t>
  </si>
  <si>
    <t>RE6901010</t>
  </si>
  <si>
    <t>1.4</t>
  </si>
  <si>
    <t>RE6901013</t>
  </si>
  <si>
    <t>1.4.1</t>
  </si>
  <si>
    <t>RE6901014</t>
  </si>
  <si>
    <t>ผลงานวิจัยและทรัพย์สินทางปัญญาที่ใช้ในเชิงพาณิชย์</t>
  </si>
  <si>
    <t>RE6901015</t>
  </si>
  <si>
    <t>1) จำนวนผลงานวิจัยและทรัพย์สินทางปัญญาที่ใช้ในเชิงพาณิชย์ในประเทศ</t>
  </si>
  <si>
    <t>RE6901016</t>
  </si>
  <si>
    <t>2) จำนวนผลงานวิจัยและทรัพย์สินทางปัญญาที่ใช้ในเชิงพาณิชย์ต่างประเทศ</t>
  </si>
  <si>
    <t>1.4.2</t>
  </si>
  <si>
    <t>RE6901017</t>
  </si>
  <si>
    <t>รายได้จากผลงานวิจัยและทรัพย์สินทางปัญญา</t>
  </si>
  <si>
    <t>1.5</t>
  </si>
  <si>
    <t>RE6901018</t>
  </si>
  <si>
    <t>1.6</t>
  </si>
  <si>
    <t>RE6901019</t>
  </si>
  <si>
    <t>1.7</t>
  </si>
  <si>
    <t>RE6901020</t>
  </si>
  <si>
    <t>1.8</t>
  </si>
  <si>
    <t>RE6901021</t>
  </si>
  <si>
    <t>1.9</t>
  </si>
  <si>
    <t>RE6901022</t>
  </si>
  <si>
    <t>จำนวนเงินทุนสนับสนุนการวิจัย</t>
  </si>
  <si>
    <t>RE6901023</t>
  </si>
  <si>
    <t>1.9.1 จำนวนเงินทุนวิจัยจากแหล่งทุนภายนอก</t>
  </si>
  <si>
    <t>RE6901024</t>
  </si>
  <si>
    <t>1.9.2 จำนวนเงินทุนวิจัยจากแหล่งทุนต่างประเทศ (International Funding)</t>
  </si>
  <si>
    <t>RE6901025</t>
  </si>
  <si>
    <t>1.9.3 จำนวนเงินทุนวิจัยจากเงินรายได้มหาวิทยาลัยและรายได้ส่วนงาน</t>
  </si>
  <si>
    <t>RE6901026</t>
  </si>
  <si>
    <t>1.9.4 จำนวนเงินทุนสนับสนุนการจัดหาเครื่องมือและครุภัณฑ์ด้านวิจัย</t>
  </si>
  <si>
    <t>RE6901027</t>
  </si>
  <si>
    <t>1.9.5 จำนวนเงินสนับสนุนการตีพิมพ์</t>
  </si>
  <si>
    <t>2.1</t>
  </si>
  <si>
    <t>ED6801001</t>
  </si>
  <si>
    <t>ED6801002</t>
  </si>
  <si>
    <t>2.1.1  ระดับ 3 การจัดการเรียนการสอนข้ามศาสตร์ขึ้นไป หรือเทียบเท่า</t>
  </si>
  <si>
    <t>ED6801003</t>
  </si>
  <si>
    <t>2.1.2  ระดับ 2 การจัดการเรียนการสอนเฉพาะกลุ่ม หรือเทียบเท่า</t>
  </si>
  <si>
    <t>2.2</t>
  </si>
  <si>
    <t>ED6801004</t>
  </si>
  <si>
    <t>2.2.1</t>
  </si>
  <si>
    <t>ED6801005</t>
  </si>
  <si>
    <t>ED6801006</t>
  </si>
  <si>
    <t>- จำนวนหลักสูตรที่ได้รับการรับรองโดย AUN-QA หรือเทียบเท่า - ระดับปริญญาตรี</t>
  </si>
  <si>
    <t>ED6801007</t>
  </si>
  <si>
    <t>หลักสูตรที่อยู่ในระยะเวลาการรับรอง</t>
  </si>
  <si>
    <t>ED6801008</t>
  </si>
  <si>
    <t>ED6801009</t>
  </si>
  <si>
    <t>หลักสูตรที่ตรวจใหม่ในปี 2568</t>
  </si>
  <si>
    <t>ED6801010</t>
  </si>
  <si>
    <t>2.2.2</t>
  </si>
  <si>
    <t>ED6801011</t>
  </si>
  <si>
    <t>ED6801012</t>
  </si>
  <si>
    <t>- จำนวนหลักสูตรที่ได้รับการรับรองโดย AUN-QA หรือเทียบเท่า - ระดับปริญญาโท</t>
  </si>
  <si>
    <t>ED6801013</t>
  </si>
  <si>
    <t>- จำนวนหลักสูตรที่ได้รับการรับรองโดย AUN-QA หรือเทียบเท่า - ระดับปริญญาเอก</t>
  </si>
  <si>
    <t>ED6801014</t>
  </si>
  <si>
    <t>ED6801015</t>
  </si>
  <si>
    <t>ED6801016</t>
  </si>
  <si>
    <t>ED6801017</t>
  </si>
  <si>
    <t>หลักสูตรที่ตรวจใหม่ในปี 2569</t>
  </si>
  <si>
    <t>ED6801018</t>
  </si>
  <si>
    <t>ED6801019</t>
  </si>
  <si>
    <t>2.3</t>
  </si>
  <si>
    <t>ED6801020</t>
  </si>
  <si>
    <t>ED6801021</t>
  </si>
  <si>
    <t>- หลักสูตรระดับปริญญาตรี สาขาวิชาวิทยาศาสตร์สุขภาพที่ครบวงรอบที่ได้รับ
การรับรองคุณภาพตามมาตรฐานระดับสากล</t>
  </si>
  <si>
    <t>2.4</t>
  </si>
  <si>
    <t>ED6801022</t>
  </si>
  <si>
    <t>2.5</t>
  </si>
  <si>
    <t>ED6801023</t>
  </si>
  <si>
    <t>ED6801024</t>
  </si>
  <si>
    <t>- จำนวนนักศึกษาระดับปริญญาตรีปีสุดท้ายที่ได้รับใบรับรอง Activity Transcript  
ตามประกาศมหาวิทยาลัย</t>
  </si>
  <si>
    <t>ED6801025</t>
  </si>
  <si>
    <t>- จำนวนนักศึกษาระดับปริญญาตรีปีสุดท้ายทั้งหมด</t>
  </si>
  <si>
    <t>2.6</t>
  </si>
  <si>
    <t>ED6801026</t>
  </si>
  <si>
    <t>2.7</t>
  </si>
  <si>
    <t>ED6801027</t>
  </si>
  <si>
    <t>2.8</t>
  </si>
  <si>
    <t>ED6801028</t>
  </si>
  <si>
    <t>ED6801029</t>
  </si>
  <si>
    <t>- จำนวนบัณฑิตมีความพึงพอใจระดับ มาก-มากที่สุด</t>
  </si>
  <si>
    <t>ED6801030</t>
  </si>
  <si>
    <t>- จำนวนบัณฑิตที่ตอบแบบประเมินทั้งหมด</t>
  </si>
  <si>
    <t>2.9</t>
  </si>
  <si>
    <t>ED6801031</t>
  </si>
  <si>
    <t>ED6801032</t>
  </si>
  <si>
    <t>ED6801033</t>
  </si>
  <si>
    <t>2.12</t>
  </si>
  <si>
    <t>ED6801034</t>
  </si>
  <si>
    <t>ED6801035</t>
  </si>
  <si>
    <t>จำนวนนักศึกษาที่ผ่านกิจกรรมหรือรับคำปรึกษาจาก Career Support Service</t>
  </si>
  <si>
    <t>2.14</t>
  </si>
  <si>
    <t>ED6801036</t>
  </si>
  <si>
    <t>2.15</t>
  </si>
  <si>
    <t>ED6801037</t>
  </si>
  <si>
    <t xml:space="preserve">ความผูกพันของศิษย์เก่าและศิษย์ปัจจุบันที่มีต่อมหาวิทยาลัยมหิดล </t>
  </si>
  <si>
    <t>ED6801038</t>
  </si>
  <si>
    <t>2.15.1 ร้อยละของความผูกพันของศิษย์ปัจจุบันที่มีต่อมหาวิทยาลัย</t>
  </si>
  <si>
    <t>ED6801039</t>
  </si>
  <si>
    <t>- จำนวนศิษย์ปัจจุบันชั้นปีสุดท้ายที่ตอบแบบสอบถามฯ โดยค่าเฉลี่ยความผูกพัน
อยู่ในระดับมากถึงมากที่สุด</t>
  </si>
  <si>
    <t>ED6801040</t>
  </si>
  <si>
    <t>- จำนวนศิษย์ปัจจุบันชั้นปีสุดท้ายที่ตอบแบบสอบถามทั้งหมด</t>
  </si>
  <si>
    <t>ED6801041</t>
  </si>
  <si>
    <t>2.15.2 ร้อยละความผูกพันของศิษย์เก่าที่มีต่อมหาวิทยาลัย</t>
  </si>
  <si>
    <t>ED6801042</t>
  </si>
  <si>
    <t>- จำนวนศิษย์เก่าที่ มีความผูกพันระดับมาก ถึง มากที่สุด</t>
  </si>
  <si>
    <t>ED6801043</t>
  </si>
  <si>
    <t>ED6801044</t>
  </si>
  <si>
    <t>2.15.3 ระดับความผูกพันของศิษย์เก่าที่มีต่อมหาวิทยาลัยมหิดล</t>
  </si>
  <si>
    <t>2.19</t>
  </si>
  <si>
    <t>ED6801045</t>
  </si>
  <si>
    <t>ED6801046</t>
  </si>
  <si>
    <t>2.19.1 นักศึกษา inbound ระยะเวลาตั้งแต่ 12 สัปดาห์ขึ้นไป</t>
  </si>
  <si>
    <t>ED6801047</t>
  </si>
  <si>
    <t>2.19.2 นักศึกษา inbound ระยะเวลาน้อยกว่า 12 สัปดาห์</t>
  </si>
  <si>
    <t>ED6801048</t>
  </si>
  <si>
    <t>2.19.3 นักศึกษา outbound ระยะเวลาตั้งแต่ 12 สัปดาห์ขึ้นไป</t>
  </si>
  <si>
    <t>ED6801049</t>
  </si>
  <si>
    <t>2.19.4 นักศึกษา outbound ระยะเวลาน้อยกว่า 12 สัปดาห์</t>
  </si>
  <si>
    <t>3.1</t>
  </si>
  <si>
    <t>SE6801001</t>
  </si>
  <si>
    <t>3.2</t>
  </si>
  <si>
    <t>SE6801002</t>
  </si>
  <si>
    <t xml:space="preserve">จำนวน Changemaker/Change Agent </t>
  </si>
  <si>
    <t>3.3</t>
  </si>
  <si>
    <t>SE6801003</t>
  </si>
  <si>
    <t>3.4</t>
  </si>
  <si>
    <t>SE6801004</t>
  </si>
  <si>
    <t>SE6801005</t>
  </si>
  <si>
    <t>แห่ง</t>
  </si>
  <si>
    <t>SE6801006</t>
  </si>
  <si>
    <t>- จำนวนหน่วยบริการวิชาการที่ได้รับใบรับรองมาตรฐานระดับชาติ</t>
  </si>
  <si>
    <t>SE6801007</t>
  </si>
  <si>
    <t>- จำนวนหน่วยบริการวิชาการที่ได้รับใบรับรองมาตรฐานระดับนานาชาติ</t>
  </si>
  <si>
    <t>SE6801008</t>
  </si>
  <si>
    <t>SE6801009</t>
  </si>
  <si>
    <t>SE6801010</t>
  </si>
  <si>
    <t>3.5</t>
  </si>
  <si>
    <t>SE6801011</t>
  </si>
  <si>
    <t>ส่วนงาน/กองแผนงาน</t>
  </si>
  <si>
    <t>3.6</t>
  </si>
  <si>
    <t>SE6801012</t>
  </si>
  <si>
    <t>ยุทธศาสตร์ที่ 4 Management for Self-Sufficiency and Sustainable Organization</t>
  </si>
  <si>
    <t>4.1</t>
  </si>
  <si>
    <t>MA6801001</t>
  </si>
  <si>
    <t>MA6801002</t>
  </si>
  <si>
    <t>MA6801003</t>
  </si>
  <si>
    <t>4.2</t>
  </si>
  <si>
    <t>MA6801004</t>
  </si>
  <si>
    <t>ศูนย์บริหารความเสี่ยง</t>
  </si>
  <si>
    <t>4.3</t>
  </si>
  <si>
    <t>MA6801005</t>
  </si>
  <si>
    <t>4.4</t>
  </si>
  <si>
    <t>MA6801006</t>
  </si>
  <si>
    <t xml:space="preserve">มี/ไม่มี </t>
  </si>
  <si>
    <t>4.5.1</t>
  </si>
  <si>
    <t>MA6801008</t>
  </si>
  <si>
    <t>ร้อยละของ Global Talent (Attraction Rate)</t>
  </si>
  <si>
    <t>MA6801009</t>
  </si>
  <si>
    <t>- จำนวนบุคลากรที่เป็น Global Talent</t>
  </si>
  <si>
    <t>MA6801010</t>
  </si>
  <si>
    <t>- จำนวนบุคลากรทั้งหมดที่เป็นกลุ่มเป้าหมายที่มหาวิทยาลัยกำหนด</t>
  </si>
  <si>
    <t>4.5.2</t>
  </si>
  <si>
    <t>MA6801011</t>
  </si>
  <si>
    <t>อัตราการคงอยู่ตามสัญญาจ้างของ Global Talent สายวิชาการ</t>
  </si>
  <si>
    <t>MA6801012</t>
  </si>
  <si>
    <t>MA6801013</t>
  </si>
  <si>
    <t>4.6</t>
  </si>
  <si>
    <t>MA6801020</t>
  </si>
  <si>
    <t>ระดับความสำเร็จของแผนการเป็น Digital Transformation</t>
  </si>
  <si>
    <t>MA6801021</t>
  </si>
  <si>
    <t>กองเทคโนโลยีสารสนเทศ/
ศูนย์ธรรมาภิบาลข้อมูล
และยุทธศาสตร์อัจฉริยะ</t>
  </si>
  <si>
    <t>MA6801022</t>
  </si>
  <si>
    <t>MA6801023</t>
  </si>
  <si>
    <t>กระบวนการ</t>
  </si>
  <si>
    <t>MA6801024</t>
  </si>
  <si>
    <t>MA6801025</t>
  </si>
  <si>
    <t>- จำนวนบุคลากร IT Man ที่ได้รับการพัฒนา</t>
  </si>
  <si>
    <t>MA6801026</t>
  </si>
  <si>
    <t>- จำนวนบุคลากร IT Man ทั้งหมด</t>
  </si>
  <si>
    <t>MA6801027</t>
  </si>
  <si>
    <t>แพลตฟอร์ม</t>
  </si>
  <si>
    <t>4.7</t>
  </si>
  <si>
    <t>MA6801028</t>
  </si>
  <si>
    <t>4.8</t>
  </si>
  <si>
    <t>MA6801029</t>
  </si>
  <si>
    <t>4.9</t>
  </si>
  <si>
    <t>MA6801030</t>
  </si>
  <si>
    <t>MA6801031</t>
  </si>
  <si>
    <t>MA6801032</t>
  </si>
  <si>
    <t>4.10.1 ประสิทธิภาพการใช้งบประมาณแผ่นดิน เมื่อจบปีงบประมาณ</t>
  </si>
  <si>
    <t>MA6801033</t>
  </si>
  <si>
    <t>4.10.2 ประสิทธิภาพการใช้งบประมาณเงินรายได้ เมื่อจบปีงบประมาณ</t>
  </si>
  <si>
    <t>MA6801034</t>
  </si>
  <si>
    <t>MA6801035</t>
  </si>
  <si>
    <t>4.11.1 ค่า EBITDA เป็นบวก</t>
  </si>
  <si>
    <t>MA6801036</t>
  </si>
  <si>
    <t xml:space="preserve">          4.11.1.1 ค่า EBIDA เป็นบวก (รวมทุกแหล่งเงิน)</t>
  </si>
  <si>
    <t>MA6801037</t>
  </si>
  <si>
    <t xml:space="preserve">          4.11.1.2 ค่า EBIDA เป็นบวก (แหล่งเงินรายได้ส่วนงาน)</t>
  </si>
  <si>
    <t>MA6801038</t>
  </si>
  <si>
    <t>4.11.2 ค่า Net Income (กำไรสุทธิ) เป็นบวก</t>
  </si>
  <si>
    <t>MA6801039</t>
  </si>
  <si>
    <t>4.11.3 ค่า Net Profit Margin มากกว่าร้อยละ 5</t>
  </si>
  <si>
    <t>MA6801040</t>
  </si>
  <si>
    <t>4.11.4 ค่า ROA มากกว่าร้อยละ 5</t>
  </si>
  <si>
    <t>4.12</t>
  </si>
  <si>
    <t>MA6801041</t>
  </si>
  <si>
    <t>MA6801042</t>
  </si>
  <si>
    <t>- จำนวนห้องปฏิบัติการที่ใช้สารเคมีได้รับการรับรองมาตรฐานห้องปฏิบัติการ
ปลอดภัยในรูปแบบ Peer Evaluation</t>
  </si>
  <si>
    <t>ห้อง</t>
  </si>
  <si>
    <t>MA6801043</t>
  </si>
  <si>
    <t>- จำนวนห้องปฏิบัติการที่ใช้สารเคมีทั้งหมดของส่วนงาน</t>
  </si>
  <si>
    <t>4.13</t>
  </si>
  <si>
    <t>MA6801044</t>
  </si>
  <si>
    <t>4.14</t>
  </si>
  <si>
    <t>MA6801045</t>
  </si>
  <si>
    <t>4.15</t>
  </si>
  <si>
    <t>MA6801046</t>
  </si>
  <si>
    <t>ตัวชี้วัด PA เพิ่มเติม ด้านสิ่งแวดล้อม</t>
  </si>
  <si>
    <t>4.16</t>
  </si>
  <si>
    <t>MA6801047</t>
  </si>
  <si>
    <t>4.16.1</t>
  </si>
  <si>
    <t>MA6801048</t>
  </si>
  <si>
    <t>ปริมาณขยะทั่วไปทั้งหมด</t>
  </si>
  <si>
    <t>กก./คน/วัน</t>
  </si>
  <si>
    <t>MA6801049</t>
  </si>
  <si>
    <t>- ปริมาณขยะทั่วไป</t>
  </si>
  <si>
    <t>กิโลกรัม</t>
  </si>
  <si>
    <t>MA6801050</t>
  </si>
  <si>
    <t>- จำนวนบุคลากรและนักศึกษา</t>
  </si>
  <si>
    <t>MA6801051</t>
  </si>
  <si>
    <t>- จำนวนวันทำงาน</t>
  </si>
  <si>
    <t>4.16.2</t>
  </si>
  <si>
    <t>MA6801052</t>
  </si>
  <si>
    <t>ร้อยละการรีไซเคิลเทียบกับขยะทั้งหมด</t>
  </si>
  <si>
    <t>MA6801053</t>
  </si>
  <si>
    <t>- ปริมาณขยะรีไซเคิล</t>
  </si>
  <si>
    <t>MA6801054</t>
  </si>
  <si>
    <t>- ปริมาณขยะทั้งหมด</t>
  </si>
  <si>
    <t>4.16.3</t>
  </si>
  <si>
    <t>MA6801055</t>
  </si>
  <si>
    <t>MA6801056</t>
  </si>
  <si>
    <t>- ปริมาณการปล่อยก๊าซเรือนกระจกทุกขอบเขต</t>
  </si>
  <si>
    <t>ตัวชี้วัด PA เพิ่มเติม ด้านการคลังและสินทรัพย์</t>
  </si>
  <si>
    <t>4.17</t>
  </si>
  <si>
    <t>MA6801057</t>
  </si>
  <si>
    <t>ตัวชี้วัด PA เพิ่มเติม ด้านบริหารบุคลากรและพัฒนาองค์กร</t>
  </si>
  <si>
    <t>4.18</t>
  </si>
  <si>
    <t>MA6801058</t>
  </si>
  <si>
    <t>4.18.1</t>
  </si>
  <si>
    <t>MA6801059</t>
  </si>
  <si>
    <t>ระดับความอยู่ดีมีสุขของบุคลากร (Well-being)</t>
  </si>
  <si>
    <t>4.18.2</t>
  </si>
  <si>
    <t>MA6801060</t>
  </si>
  <si>
    <t>N/T</t>
  </si>
  <si>
    <r>
      <t xml:space="preserve">ข้อมูลในช่องสีเหลือง เป็นข้อมูลผลลัพธ์ของข้อมูลพื้นฐาน ทีมีการคำนวณตามสูตรที่กำหนดไว้แล้ว
</t>
    </r>
    <r>
      <rPr>
        <b/>
        <sz val="14"/>
        <color rgb="FFFF0000"/>
        <rFont val="TH Sarabun New"/>
        <family val="2"/>
      </rPr>
      <t xml:space="preserve"> ส่วนงานไม่สามารถกรอกข้อมูลในช่องสีเหลืองได้</t>
    </r>
  </si>
  <si>
    <r>
      <t xml:space="preserve">ข้อมูลในช่องสีชมพู เป็นข้อมูลผลการดำเนินงานจากส่วนกลาง
</t>
    </r>
    <r>
      <rPr>
        <b/>
        <sz val="14"/>
        <color rgb="FFFF0000"/>
        <rFont val="TH Sarabun New"/>
        <family val="2"/>
      </rPr>
      <t xml:space="preserve"> ส่วนงานไม่สามารถกรอกข้อมูลในช่องสีชมพูได้</t>
    </r>
  </si>
  <si>
    <r>
      <t xml:space="preserve">- การกรอกข้อมูลในแต่ละไตรมาส </t>
    </r>
    <r>
      <rPr>
        <b/>
        <sz val="14"/>
        <color rgb="FFFF0000"/>
        <rFont val="TH Sarabun New"/>
        <family val="2"/>
      </rPr>
      <t>ขอให้กรอกข้อมูลในไฟล์เดิมทุกครั้ง โดยรวมข้อมูลสะสมกับไตรมาสก่อนหน้า</t>
    </r>
  </si>
  <si>
    <r>
      <t>- การรายงานข้อมูลตัวชี้วัด</t>
    </r>
    <r>
      <rPr>
        <b/>
        <sz val="14"/>
        <color rgb="FFFF0000"/>
        <rFont val="TH Sarabun New"/>
        <family val="2"/>
      </rPr>
      <t>ด้านการวิจัย</t>
    </r>
    <r>
      <rPr>
        <b/>
        <sz val="14"/>
        <color theme="1"/>
        <rFont val="TH Sarabun New"/>
        <family val="2"/>
      </rPr>
      <t xml:space="preserve"> ที่เก็บข้อมูลด้วยปีปฏิทิน 2569 ขอให้เริ่มรายงานตั้งแต่ช่วงไตรมาสที่ 2 ของปี 2569 (เดือนมกราคม 2569)</t>
    </r>
  </si>
  <si>
    <t>ผ่าน</t>
  </si>
  <si>
    <t>มี</t>
  </si>
  <si>
    <t>เป็นบวก</t>
  </si>
  <si>
    <t>เป็นลบ</t>
  </si>
  <si>
    <t>จำนวนบริษัท / บริษัทวิสาหกิจเริ่มต้น (Startup) / บริษัทแยกส่วนธุรกิจ (Spin-off) ที่ยังคงดำเนินธุรกิจจากผลงานวิจัยหรือทรัพย์สินทางปัญญาของมหาวิทยาลัย</t>
  </si>
  <si>
    <t>ปริมาณการปล่อยก๊าซเรือนกะจกทุกขอบเขต</t>
  </si>
  <si>
    <t>ระดับการรับรู้ที่เพิ่มขึ้นในการดูแลความเป็นอยู่และสุขภาพ</t>
  </si>
  <si>
    <t>ระดับความสำเร็จของการปรับข้อบังคับและแนวทางการดำเนินงานของกองทุนมหิดลยั่งยืนและมูลนิธิมหาวิทยาลัยมหิดล เพื่อตอบโจทย์แผนยุทธศาสตร์ด้าน PR และภาพลักษณ์</t>
  </si>
  <si>
    <t>- จำนวนบุคลากรที่เป็น Global Talent (ข้อมูล ณ เดือนกันยายน 2570)</t>
  </si>
  <si>
    <t>- จำนวนบุคลากรที่เป็น Global Talent (ข้อมูล ณ เดือนตุลาคม 2569)</t>
  </si>
  <si>
    <t>4.6.2 การนำมาตรฐานมาใช้ใน Cyber Protection and Resilience ของส่วนกลาง และส่วนงานที่มีการจัดการข้อมูลสุขภาพ</t>
  </si>
  <si>
    <t>4.6.3การปรับ Process by Design เพื่อปรับปรุง Process Efficiency ของระบบงานให้ดีขึ้น</t>
  </si>
  <si>
    <t>4.6.4 Digital Training ให้กับ IT Man เพื่อก้าวทันการเปลี่ยนแปลงทางโลกดิจิทัล (% ส่วนงานรับการอบรม)</t>
  </si>
  <si>
    <t>4.6.5 การพัฒนา New Business Model หรือ New Customer Journey เพื่อรองรับ Future Transformation</t>
  </si>
  <si>
    <t>4.6.1 การจัดการธรรมาภิบาลข้อมูล (Data Governance) เพื่อรองรับการเชื่อมโยงและใช้ข้อมูลพันธกิจหลัก</t>
  </si>
  <si>
    <t>คะแนนผลการประเมินคุณธรรมและความโปร่งใสในการดำเนินงานของหน่วยงานภาครัฐ (ITA)</t>
  </si>
  <si>
    <t xml:space="preserve">4.1.1 ผลการประเมินคุณธรรมและความโปร่งใสในการดำเนินงานของหน่วยงานภาครัฐ (ITA) ของมหาวิทยาลัยอยู่ในระดับสูงมาก </t>
  </si>
  <si>
    <t>4.1.2 ผลการประเมินคุณธรรมและความโปร่งใสในการดำเนินงานของหน่วยงานภาครัฐ (ITA) ของส่วนงานในสังกัดอยู่ในระดับสูง</t>
  </si>
  <si>
    <t xml:space="preserve">ข้อตรวจพบจากศูนย์ตรวจสอบภายในระดับ High (Risk) และ Medium (Risk) มีจำนวนรวมลดลงจากปีที่ผ่านมา </t>
  </si>
  <si>
    <t xml:space="preserve">เหตุการณ์ความเสี่ยงรุนแรงได้รับการแก้ไขในเวลาที่กำหนดและต้องมีมาตรการป้องกันการเกิดซ้ำที่เป็นรูปธรรม </t>
  </si>
  <si>
    <t>รายงานการวิเคราะห์การจัดการทางการเงินเชิงกลยุทธ์ (Strategic Financial Management) ที่เป็นปัจจุบันเพื่อการบริหาร</t>
  </si>
  <si>
    <t>ศูนย์ตรวจสอบภายใน</t>
  </si>
  <si>
    <t>ปีงบประมาณ2569</t>
  </si>
  <si>
    <t>จำนวนอาจารย์ที่มีคุณภาพการจัดการเรียนการสอนตามเกณฑ์มาตรฐานคุณภาพอาจารย์ของมหาวิทยาลัยมหิดล (MUPSF - Professional Standards Framework )</t>
  </si>
  <si>
    <t>ร้อยละของหลักสูตรที่ได้รับการรับรองคุณภาพตามมาตรฐานระดับสากล (หลักสูตรระดับปริญญาตรี)</t>
  </si>
  <si>
    <t>จำนวนความร่วมมือ/โครงการ</t>
  </si>
  <si>
    <t>ร้อยละของนักศึกษาระดับปริญญาตรีปีสุดท้ายที่ถูกพัฒนาให้เป็น Global Citizen และ Global Talents</t>
  </si>
  <si>
    <t>จำนวนหลักสูตรใหม่ระดับบัณฑิตศึกษาที่ตอบสนองความต้องการของสังคม (Higher Education Sandbox)/หลักสูตรที่สร้างกำลังคนกลุ่มสาขาเทคนิคระดับสูง</t>
  </si>
  <si>
    <t>ร้อยละของหลักสูตรระดับปริญญาตรี สาขาวิชาวิทยาศาสตร์สุขภาพที่ครบวงรอบที่ได้รับการรับรองคุณภาพตามมาตรฐานระดับสากล</t>
  </si>
  <si>
    <t>จำนวนชั่วโมงต่อปีการศึกษาที่ส่วนงานจัดกระบวนการพัฒนานักศึกษาที่ตอบสนองต่อการเป็น Global Citizen, Global Talents และ Entrepreneurship</t>
  </si>
  <si>
    <t>จำนวนมูลค่ารวมของกิจกรรมในโครงการ Capacity Building ที่ได้รับการสนับสนุนจากผู้ให้ภายนอก</t>
  </si>
  <si>
    <t>จำนวนโครงการของส่วนงานที่มีความโดดเด่นและมีผลลัพธ์ที่มี Impact โดยมีความสอดคล้องกับเป้าหมายการพัฒนาที่ยั่งยืน</t>
  </si>
  <si>
    <t>กองกายภาพและ
สิ่งแวดล้อม</t>
  </si>
  <si>
    <t>ร้อยละของห้องปฏิบัติการที่มีการใช้สารเคมีได้รับการรับรองมาตรฐานห้องปฏิบัติการปลอดภัยในรูปแบบ Peer Evaluation</t>
  </si>
  <si>
    <t>อัตราผลตอบแทนที่ได้จากการลงทุน (Return on Financial Investment) โดยคิดคำนวณจากวิธี Time-Weighted Return</t>
  </si>
  <si>
    <t>ตัวชี้วัดความยั่งยืนด้านสิ่งแวดล้อม การใช้ทรัพยากร การลดปริมาณขยะ และการปล่อยก๊าซเรือนกระจก</t>
  </si>
  <si>
    <t>- จำนวนหน่วยบริการวิชาการที่ได้รับใบรับรองมาตรฐานระดับชาติและนานาชาติ (ไม่นับซ้ำ)</t>
  </si>
  <si>
    <t>- จำนวนหน่วยบริการวิชาการทั้งหมดของส่วนงานที่ต้องมีการรับรองมาตรฐาน (ไม่นับซ้ำ)</t>
  </si>
  <si>
    <t>- จำนวนหน่วยบริการวิชาการทั้งหมดของส่วนงานที่ต้องมีการรับรองมาตรฐาน ระดับชาติ</t>
  </si>
  <si>
    <t>- จำนวนหน่วยบริการวิชาการทั้งหมดของส่วนงานที่ต้องมีการรับรองมาตรฐาน ระดับนานาชาติ</t>
  </si>
  <si>
    <t>- จำนวนศิษย์เก่า (ร้อยละ 25 ของศิษย์เก่าทั้งหมด)</t>
  </si>
  <si>
    <t>ศูนย์ส่งเสริมการเรียนรู้
แบบบูรณาการชีวิต</t>
  </si>
  <si>
    <t>จำนวน
หน่วยการเรียนรู้</t>
  </si>
  <si>
    <t>กองเทคโนโลยี
สารสนเทศ</t>
  </si>
  <si>
    <t xml:space="preserve">ร้อยละของความพึงพอใจของบัณฑิตที่มีต่อหลักสูตรของมหาวิทยาลัยระดับ มาก-มากที่สุด (คะแนน 4 ขึ้นไปจากคะแนนเต็ม 5) </t>
  </si>
  <si>
    <t>ร้อยละของหลักสูตรที่ได้รับการรับรองคุณภาพตามมาตรฐานระดับสากล (หลักสูตรระดับบัณฑิตศึกษา)</t>
  </si>
  <si>
    <t>Quarter4</t>
  </si>
  <si>
    <t>Quarter1</t>
  </si>
  <si>
    <t>Quarter2</t>
  </si>
  <si>
    <t>Quarter3</t>
  </si>
  <si>
    <t>Project_id</t>
  </si>
  <si>
    <t>ProjectName</t>
  </si>
  <si>
    <t>Unit</t>
  </si>
  <si>
    <t>typeYear</t>
  </si>
  <si>
    <t>Responsible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</si>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</sst>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6"/>
      <color theme="1"/>
      <name val="TH Sarabun New"/>
      <family val="2"/>
    </font>
    <font>
      <sz val="10"/>
      <color rgb="FF000000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b/>
      <sz val="14"/>
      <color rgb="FFFF0000"/>
      <name val="TH Sarabun New"/>
      <family val="2"/>
    </font>
    <font>
      <sz val="10"/>
      <color theme="1"/>
      <name val="TH Sarabun New"/>
      <family val="2"/>
    </font>
    <font>
      <sz val="14"/>
      <color rgb="FFFF0000"/>
      <name val="TH Sarabun New"/>
      <family val="2"/>
    </font>
    <font>
      <b/>
      <u/>
      <sz val="14"/>
      <color theme="1"/>
      <name val="TH Sarabun New"/>
      <family val="2"/>
    </font>
    <font>
      <b/>
      <sz val="9"/>
      <color theme="1"/>
      <name val="TH Sarabun New"/>
      <family val="2"/>
    </font>
    <font>
      <b/>
      <sz val="12"/>
      <color theme="1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0"/>
      <name val="TH Sarabun New"/>
      <family val="2"/>
    </font>
    <font>
      <b/>
      <sz val="12"/>
      <color rgb="FF000000"/>
      <name val="TH Sarabun New"/>
      <family val="2"/>
    </font>
    <font>
      <b/>
      <sz val="13"/>
      <color rgb="FF000000"/>
      <name val="TH Sarabun New"/>
      <family val="2"/>
    </font>
    <font>
      <b/>
      <sz val="16"/>
      <color rgb="FFFFFFFF"/>
      <name val="TH Sarabun New"/>
      <family val="2"/>
    </font>
    <font>
      <sz val="12"/>
      <color rgb="FF000000"/>
      <name val="TH Sarabun New"/>
      <family val="2"/>
    </font>
    <font>
      <sz val="11"/>
      <color rgb="FF000000"/>
      <name val="TH Sarabun New"/>
      <family val="2"/>
    </font>
    <font>
      <b/>
      <sz val="15"/>
      <color rgb="FF000000"/>
      <name val="TH Sarabun New"/>
      <family val="2"/>
    </font>
  </fonts>
  <fills count="19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990000"/>
        <bgColor rgb="FF990000"/>
      </patternFill>
    </fill>
    <fill>
      <patternFill patternType="solid">
        <fgColor rgb="FF9900FF"/>
        <bgColor rgb="FF9900FF"/>
      </patternFill>
    </fill>
    <fill>
      <patternFill patternType="solid">
        <fgColor rgb="FF1C4587"/>
        <bgColor rgb="FF1C4587"/>
      </patternFill>
    </fill>
    <fill>
      <patternFill patternType="solid">
        <fgColor rgb="FFE8B19F"/>
        <bgColor rgb="FFE8B19F"/>
      </patternFill>
    </fill>
    <fill>
      <patternFill patternType="solid">
        <fgColor rgb="FFCFE2F3"/>
        <bgColor rgb="FFCFE2F3"/>
      </patternFill>
    </fill>
    <fill>
      <patternFill patternType="solid">
        <fgColor theme="1"/>
        <bgColor theme="1"/>
      </patternFill>
    </fill>
    <fill>
      <patternFill patternType="solid">
        <fgColor rgb="FFEA9999"/>
        <bgColor rgb="FFEA9999"/>
      </patternFill>
    </fill>
    <fill>
      <patternFill patternType="solid">
        <fgColor rgb="FFA6A6A6"/>
        <bgColor rgb="FFA6A6A6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9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49" fontId="3" fillId="0" borderId="0" xfId="0" applyNumberFormat="1" applyFont="1" applyAlignment="1"/>
    <xf numFmtId="0" fontId="3" fillId="0" borderId="0" xfId="0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5" borderId="1" xfId="0" applyFont="1" applyFill="1" applyBorder="1" applyAlignment="1">
      <alignment horizontal="left" vertical="top"/>
    </xf>
    <xf numFmtId="0" fontId="9" fillId="5" borderId="2" xfId="0" applyFont="1" applyFill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4" fillId="6" borderId="0" xfId="0" applyFont="1" applyFill="1" applyAlignment="1">
      <alignment horizontal="left" vertical="top"/>
    </xf>
    <xf numFmtId="0" fontId="11" fillId="0" borderId="0" xfId="0" applyFont="1" applyAlignment="1">
      <alignment vertical="top"/>
    </xf>
    <xf numFmtId="49" fontId="11" fillId="0" borderId="0" xfId="0" applyNumberFormat="1" applyFont="1" applyAlignment="1">
      <alignment vertical="top"/>
    </xf>
    <xf numFmtId="49" fontId="3" fillId="7" borderId="0" xfId="0" applyNumberFormat="1" applyFont="1" applyFill="1" applyAlignment="1">
      <alignment horizontal="center" vertical="top"/>
    </xf>
    <xf numFmtId="0" fontId="11" fillId="0" borderId="0" xfId="0" applyFont="1" applyAlignment="1">
      <alignment horizontal="left"/>
    </xf>
    <xf numFmtId="49" fontId="3" fillId="8" borderId="0" xfId="0" applyNumberFormat="1" applyFont="1" applyFill="1" applyAlignment="1">
      <alignment horizontal="center" vertical="top"/>
    </xf>
    <xf numFmtId="49" fontId="3" fillId="9" borderId="0" xfId="0" applyNumberFormat="1" applyFont="1" applyFill="1" applyAlignment="1">
      <alignment horizontal="center" vertical="top"/>
    </xf>
    <xf numFmtId="49" fontId="6" fillId="0" borderId="0" xfId="0" applyNumberFormat="1" applyFont="1"/>
    <xf numFmtId="0" fontId="11" fillId="0" borderId="0" xfId="0" applyFont="1" applyAlignment="1">
      <alignment horizontal="center" vertical="top"/>
    </xf>
    <xf numFmtId="0" fontId="12" fillId="10" borderId="4" xfId="0" applyFont="1" applyFill="1" applyBorder="1" applyAlignment="1">
      <alignment horizontal="center" vertical="top"/>
    </xf>
    <xf numFmtId="0" fontId="12" fillId="10" borderId="3" xfId="0" applyFont="1" applyFill="1" applyBorder="1" applyAlignment="1">
      <alignment horizontal="center" vertical="top"/>
    </xf>
    <xf numFmtId="0" fontId="12" fillId="10" borderId="12" xfId="0" applyFont="1" applyFill="1" applyBorder="1" applyAlignment="1">
      <alignment horizontal="center" vertical="top"/>
    </xf>
    <xf numFmtId="0" fontId="12" fillId="10" borderId="13" xfId="0" applyFont="1" applyFill="1" applyBorder="1" applyAlignment="1">
      <alignment horizontal="center" vertical="top"/>
    </xf>
    <xf numFmtId="0" fontId="11" fillId="10" borderId="13" xfId="0" applyFont="1" applyFill="1" applyBorder="1" applyAlignment="1">
      <alignment horizontal="center" vertical="top"/>
    </xf>
    <xf numFmtId="0" fontId="11" fillId="10" borderId="14" xfId="0" applyFont="1" applyFill="1" applyBorder="1" applyAlignment="1">
      <alignment horizontal="center" vertical="top"/>
    </xf>
    <xf numFmtId="0" fontId="12" fillId="10" borderId="1" xfId="0" applyFont="1" applyFill="1" applyBorder="1" applyAlignment="1">
      <alignment horizontal="center" vertical="top"/>
    </xf>
    <xf numFmtId="0" fontId="12" fillId="10" borderId="16" xfId="0" applyFont="1" applyFill="1" applyBorder="1" applyAlignment="1">
      <alignment horizontal="center" vertical="top"/>
    </xf>
    <xf numFmtId="0" fontId="12" fillId="10" borderId="11" xfId="0" applyFont="1" applyFill="1" applyBorder="1" applyAlignment="1">
      <alignment horizontal="center" vertical="top"/>
    </xf>
    <xf numFmtId="0" fontId="11" fillId="10" borderId="11" xfId="0" applyFont="1" applyFill="1" applyBorder="1" applyAlignment="1">
      <alignment horizontal="center" vertical="top"/>
    </xf>
    <xf numFmtId="0" fontId="11" fillId="10" borderId="12" xfId="0" applyFont="1" applyFill="1" applyBorder="1" applyAlignment="1">
      <alignment horizontal="center" vertical="top"/>
    </xf>
    <xf numFmtId="0" fontId="12" fillId="10" borderId="8" xfId="0" applyFont="1" applyFill="1" applyBorder="1" applyAlignment="1">
      <alignment horizontal="center" vertical="top"/>
    </xf>
    <xf numFmtId="0" fontId="11" fillId="10" borderId="16" xfId="0" applyFont="1" applyFill="1" applyBorder="1" applyAlignment="1">
      <alignment horizontal="center" vertical="top"/>
    </xf>
    <xf numFmtId="0" fontId="12" fillId="10" borderId="15" xfId="0" applyFont="1" applyFill="1" applyBorder="1" applyAlignment="1">
      <alignment horizontal="center" vertical="top"/>
    </xf>
    <xf numFmtId="0" fontId="11" fillId="10" borderId="15" xfId="0" applyFont="1" applyFill="1" applyBorder="1" applyAlignment="1">
      <alignment horizontal="center" vertical="top"/>
    </xf>
    <xf numFmtId="0" fontId="6" fillId="10" borderId="0" xfId="0" applyFont="1" applyFill="1"/>
    <xf numFmtId="0" fontId="12" fillId="10" borderId="14" xfId="0" applyFont="1" applyFill="1" applyBorder="1" applyAlignment="1">
      <alignment horizontal="center" vertical="top"/>
    </xf>
    <xf numFmtId="0" fontId="12" fillId="15" borderId="3" xfId="0" applyFont="1" applyFill="1" applyBorder="1" applyAlignment="1">
      <alignment horizontal="center" vertical="top"/>
    </xf>
    <xf numFmtId="0" fontId="12" fillId="15" borderId="3" xfId="0" applyFont="1" applyFill="1" applyBorder="1" applyAlignment="1">
      <alignment horizontal="left" vertical="top"/>
    </xf>
    <xf numFmtId="3" fontId="4" fillId="15" borderId="3" xfId="0" applyNumberFormat="1" applyFont="1" applyFill="1" applyBorder="1" applyAlignment="1">
      <alignment horizontal="center" vertical="top"/>
    </xf>
    <xf numFmtId="0" fontId="3" fillId="16" borderId="1" xfId="0" applyFont="1" applyFill="1" applyBorder="1" applyAlignment="1">
      <alignment vertical="top"/>
    </xf>
    <xf numFmtId="3" fontId="4" fillId="15" borderId="1" xfId="0" applyNumberFormat="1" applyFont="1" applyFill="1" applyBorder="1" applyAlignment="1">
      <alignment horizontal="center" vertical="top"/>
    </xf>
    <xf numFmtId="1" fontId="4" fillId="15" borderId="3" xfId="0" applyNumberFormat="1" applyFont="1" applyFill="1" applyBorder="1" applyAlignment="1">
      <alignment horizontal="center" vertical="top"/>
    </xf>
    <xf numFmtId="0" fontId="12" fillId="15" borderId="1" xfId="0" applyFont="1" applyFill="1" applyBorder="1" applyAlignment="1">
      <alignment horizontal="center" vertical="top"/>
    </xf>
    <xf numFmtId="0" fontId="12" fillId="15" borderId="1" xfId="0" applyFont="1" applyFill="1" applyBorder="1" applyAlignment="1">
      <alignment horizontal="left" vertical="top"/>
    </xf>
    <xf numFmtId="1" fontId="4" fillId="15" borderId="1" xfId="0" applyNumberFormat="1" applyFont="1" applyFill="1" applyBorder="1" applyAlignment="1">
      <alignment horizontal="center" vertical="top"/>
    </xf>
    <xf numFmtId="0" fontId="12" fillId="17" borderId="12" xfId="0" applyFont="1" applyFill="1" applyBorder="1" applyAlignment="1">
      <alignment horizontal="center" vertical="top"/>
    </xf>
    <xf numFmtId="0" fontId="12" fillId="17" borderId="12" xfId="0" applyFont="1" applyFill="1" applyBorder="1" applyAlignment="1">
      <alignment horizontal="left" vertical="top"/>
    </xf>
    <xf numFmtId="0" fontId="12" fillId="16" borderId="12" xfId="0" applyFont="1" applyFill="1" applyBorder="1" applyAlignment="1">
      <alignment horizontal="center" vertical="top"/>
    </xf>
    <xf numFmtId="0" fontId="12" fillId="17" borderId="13" xfId="0" applyFont="1" applyFill="1" applyBorder="1" applyAlignment="1">
      <alignment horizontal="center" vertical="top"/>
    </xf>
    <xf numFmtId="0" fontId="12" fillId="17" borderId="13" xfId="0" applyFont="1" applyFill="1" applyBorder="1" applyAlignment="1">
      <alignment horizontal="left" vertical="top"/>
    </xf>
    <xf numFmtId="0" fontId="12" fillId="16" borderId="13" xfId="0" applyFont="1" applyFill="1" applyBorder="1" applyAlignment="1">
      <alignment horizontal="center" vertical="top"/>
    </xf>
    <xf numFmtId="0" fontId="11" fillId="17" borderId="13" xfId="0" applyFont="1" applyFill="1" applyBorder="1" applyAlignment="1">
      <alignment horizontal="center" vertical="top"/>
    </xf>
    <xf numFmtId="0" fontId="11" fillId="17" borderId="13" xfId="0" applyFont="1" applyFill="1" applyBorder="1" applyAlignment="1">
      <alignment horizontal="left" vertical="top"/>
    </xf>
    <xf numFmtId="0" fontId="12" fillId="18" borderId="14" xfId="0" applyFont="1" applyFill="1" applyBorder="1" applyAlignment="1">
      <alignment horizontal="center" vertical="top"/>
    </xf>
    <xf numFmtId="0" fontId="12" fillId="18" borderId="14" xfId="0" applyFont="1" applyFill="1" applyBorder="1" applyAlignment="1">
      <alignment horizontal="left" vertical="top"/>
    </xf>
    <xf numFmtId="0" fontId="12" fillId="16" borderId="14" xfId="0" applyFont="1" applyFill="1" applyBorder="1" applyAlignment="1">
      <alignment horizontal="center" vertical="top"/>
    </xf>
    <xf numFmtId="0" fontId="12" fillId="17" borderId="3" xfId="0" applyFont="1" applyFill="1" applyBorder="1" applyAlignment="1">
      <alignment horizontal="center" vertical="top"/>
    </xf>
    <xf numFmtId="0" fontId="12" fillId="16" borderId="3" xfId="0" applyFont="1" applyFill="1" applyBorder="1" applyAlignment="1">
      <alignment horizontal="center" vertical="top"/>
    </xf>
    <xf numFmtId="0" fontId="12" fillId="18" borderId="3" xfId="0" applyFont="1" applyFill="1" applyBorder="1" applyAlignment="1">
      <alignment horizontal="center" vertical="top"/>
    </xf>
    <xf numFmtId="0" fontId="12" fillId="18" borderId="3" xfId="0" applyFont="1" applyFill="1" applyBorder="1" applyAlignment="1">
      <alignment horizontal="left" vertical="top"/>
    </xf>
    <xf numFmtId="0" fontId="12" fillId="18" borderId="1" xfId="0" applyFont="1" applyFill="1" applyBorder="1" applyAlignment="1">
      <alignment horizontal="center" vertical="top"/>
    </xf>
    <xf numFmtId="0" fontId="12" fillId="15" borderId="12" xfId="0" applyFont="1" applyFill="1" applyBorder="1" applyAlignment="1">
      <alignment horizontal="center" vertical="top"/>
    </xf>
    <xf numFmtId="0" fontId="12" fillId="15" borderId="12" xfId="0" applyFont="1" applyFill="1" applyBorder="1" applyAlignment="1">
      <alignment horizontal="left" vertical="top"/>
    </xf>
    <xf numFmtId="0" fontId="12" fillId="15" borderId="13" xfId="0" applyFont="1" applyFill="1" applyBorder="1" applyAlignment="1">
      <alignment horizontal="center" vertical="top"/>
    </xf>
    <xf numFmtId="4" fontId="12" fillId="15" borderId="13" xfId="0" applyNumberFormat="1" applyFont="1" applyFill="1" applyBorder="1" applyAlignment="1">
      <alignment horizontal="center" vertical="top"/>
    </xf>
    <xf numFmtId="0" fontId="12" fillId="15" borderId="13" xfId="0" applyFont="1" applyFill="1" applyBorder="1" applyAlignment="1">
      <alignment horizontal="left" vertical="top"/>
    </xf>
    <xf numFmtId="3" fontId="12" fillId="15" borderId="13" xfId="0" applyNumberFormat="1" applyFont="1" applyFill="1" applyBorder="1" applyAlignment="1">
      <alignment horizontal="center" vertical="top"/>
    </xf>
    <xf numFmtId="0" fontId="12" fillId="17" borderId="16" xfId="0" applyFont="1" applyFill="1" applyBorder="1" applyAlignment="1">
      <alignment horizontal="center" vertical="top"/>
    </xf>
    <xf numFmtId="0" fontId="12" fillId="17" borderId="16" xfId="0" applyFont="1" applyFill="1" applyBorder="1" applyAlignment="1">
      <alignment horizontal="left" vertical="top"/>
    </xf>
    <xf numFmtId="0" fontId="12" fillId="16" borderId="16" xfId="0" applyFont="1" applyFill="1" applyBorder="1" applyAlignment="1">
      <alignment horizontal="center" vertical="top"/>
    </xf>
    <xf numFmtId="3" fontId="12" fillId="17" borderId="13" xfId="0" applyNumberFormat="1" applyFont="1" applyFill="1" applyBorder="1" applyAlignment="1">
      <alignment horizontal="center" vertical="top"/>
    </xf>
    <xf numFmtId="0" fontId="12" fillId="17" borderId="14" xfId="0" applyFont="1" applyFill="1" applyBorder="1" applyAlignment="1">
      <alignment horizontal="center" vertical="top"/>
    </xf>
    <xf numFmtId="0" fontId="12" fillId="17" borderId="14" xfId="0" applyFont="1" applyFill="1" applyBorder="1" applyAlignment="1">
      <alignment horizontal="left" vertical="top"/>
    </xf>
    <xf numFmtId="3" fontId="12" fillId="17" borderId="14" xfId="0" applyNumberFormat="1" applyFont="1" applyFill="1" applyBorder="1" applyAlignment="1">
      <alignment horizontal="center" vertical="top"/>
    </xf>
    <xf numFmtId="4" fontId="12" fillId="17" borderId="12" xfId="0" applyNumberFormat="1" applyFont="1" applyFill="1" applyBorder="1" applyAlignment="1">
      <alignment horizontal="center" vertical="top"/>
    </xf>
    <xf numFmtId="4" fontId="12" fillId="17" borderId="13" xfId="0" applyNumberFormat="1" applyFont="1" applyFill="1" applyBorder="1" applyAlignment="1">
      <alignment horizontal="center" vertical="top"/>
    </xf>
    <xf numFmtId="0" fontId="11" fillId="4" borderId="13" xfId="0" applyFont="1" applyFill="1" applyBorder="1" applyAlignment="1">
      <alignment horizontal="center" vertical="top"/>
    </xf>
    <xf numFmtId="0" fontId="11" fillId="4" borderId="13" xfId="0" applyFont="1" applyFill="1" applyBorder="1" applyAlignment="1">
      <alignment horizontal="left" vertical="top"/>
    </xf>
    <xf numFmtId="1" fontId="11" fillId="4" borderId="13" xfId="0" applyNumberFormat="1" applyFont="1" applyFill="1" applyBorder="1" applyAlignment="1">
      <alignment horizontal="center" vertical="top"/>
    </xf>
    <xf numFmtId="1" fontId="12" fillId="17" borderId="13" xfId="0" applyNumberFormat="1" applyFont="1" applyFill="1" applyBorder="1" applyAlignment="1">
      <alignment horizontal="center" vertical="top"/>
    </xf>
    <xf numFmtId="0" fontId="11" fillId="4" borderId="14" xfId="0" applyFont="1" applyFill="1" applyBorder="1" applyAlignment="1">
      <alignment horizontal="center" vertical="top"/>
    </xf>
    <xf numFmtId="0" fontId="11" fillId="4" borderId="14" xfId="0" applyFont="1" applyFill="1" applyBorder="1" applyAlignment="1">
      <alignment horizontal="left" vertical="top"/>
    </xf>
    <xf numFmtId="1" fontId="11" fillId="4" borderId="14" xfId="0" applyNumberFormat="1" applyFont="1" applyFill="1" applyBorder="1" applyAlignment="1">
      <alignment horizontal="center" vertical="top"/>
    </xf>
    <xf numFmtId="0" fontId="12" fillId="18" borderId="11" xfId="0" applyFont="1" applyFill="1" applyBorder="1" applyAlignment="1">
      <alignment horizontal="center" vertical="top"/>
    </xf>
    <xf numFmtId="4" fontId="12" fillId="17" borderId="16" xfId="0" applyNumberFormat="1" applyFont="1" applyFill="1" applyBorder="1" applyAlignment="1">
      <alignment horizontal="center" vertical="top"/>
    </xf>
    <xf numFmtId="0" fontId="12" fillId="17" borderId="1" xfId="0" applyFont="1" applyFill="1" applyBorder="1" applyAlignment="1">
      <alignment horizontal="center" vertical="top"/>
    </xf>
    <xf numFmtId="0" fontId="12" fillId="18" borderId="8" xfId="0" applyFont="1" applyFill="1" applyBorder="1" applyAlignment="1">
      <alignment horizontal="center" vertical="top"/>
    </xf>
    <xf numFmtId="0" fontId="11" fillId="4" borderId="15" xfId="0" applyFont="1" applyFill="1" applyBorder="1" applyAlignment="1">
      <alignment horizontal="left" vertical="top"/>
    </xf>
    <xf numFmtId="0" fontId="11" fillId="4" borderId="15" xfId="0" applyFont="1" applyFill="1" applyBorder="1" applyAlignment="1">
      <alignment horizontal="center" vertical="top"/>
    </xf>
    <xf numFmtId="0" fontId="12" fillId="18" borderId="1" xfId="0" applyFont="1" applyFill="1" applyBorder="1" applyAlignment="1">
      <alignment horizontal="left" vertical="top"/>
    </xf>
    <xf numFmtId="0" fontId="12" fillId="18" borderId="4" xfId="0" applyFont="1" applyFill="1" applyBorder="1" applyAlignment="1">
      <alignment horizontal="left" vertical="top"/>
    </xf>
    <xf numFmtId="0" fontId="12" fillId="17" borderId="8" xfId="0" applyFont="1" applyFill="1" applyBorder="1" applyAlignment="1">
      <alignment horizontal="center" vertical="top"/>
    </xf>
    <xf numFmtId="0" fontId="12" fillId="17" borderId="8" xfId="0" applyFont="1" applyFill="1" applyBorder="1" applyAlignment="1">
      <alignment horizontal="left" vertical="top"/>
    </xf>
    <xf numFmtId="3" fontId="12" fillId="17" borderId="8" xfId="0" applyNumberFormat="1" applyFont="1" applyFill="1" applyBorder="1" applyAlignment="1">
      <alignment horizontal="center" vertical="top"/>
    </xf>
    <xf numFmtId="0" fontId="12" fillId="17" borderId="15" xfId="0" applyFont="1" applyFill="1" applyBorder="1" applyAlignment="1">
      <alignment horizontal="center" vertical="top"/>
    </xf>
    <xf numFmtId="0" fontId="12" fillId="17" borderId="15" xfId="0" applyFont="1" applyFill="1" applyBorder="1" applyAlignment="1">
      <alignment horizontal="left" vertical="top"/>
    </xf>
    <xf numFmtId="0" fontId="12" fillId="3" borderId="16" xfId="0" applyFont="1" applyFill="1" applyBorder="1" applyAlignment="1">
      <alignment horizontal="center" vertical="top"/>
    </xf>
    <xf numFmtId="0" fontId="12" fillId="3" borderId="16" xfId="0" applyFont="1" applyFill="1" applyBorder="1" applyAlignment="1">
      <alignment horizontal="left" vertical="top"/>
    </xf>
    <xf numFmtId="1" fontId="12" fillId="3" borderId="16" xfId="0" applyNumberFormat="1" applyFont="1" applyFill="1" applyBorder="1" applyAlignment="1">
      <alignment horizontal="center" vertical="top"/>
    </xf>
    <xf numFmtId="0" fontId="11" fillId="15" borderId="13" xfId="0" applyFont="1" applyFill="1" applyBorder="1" applyAlignment="1">
      <alignment horizontal="center" vertical="top"/>
    </xf>
    <xf numFmtId="0" fontId="11" fillId="15" borderId="13" xfId="0" applyFont="1" applyFill="1" applyBorder="1" applyAlignment="1">
      <alignment horizontal="left" vertical="top"/>
    </xf>
    <xf numFmtId="1" fontId="11" fillId="15" borderId="13" xfId="0" applyNumberFormat="1" applyFont="1" applyFill="1" applyBorder="1" applyAlignment="1">
      <alignment horizontal="center" vertical="top"/>
    </xf>
    <xf numFmtId="0" fontId="11" fillId="15" borderId="14" xfId="0" applyFont="1" applyFill="1" applyBorder="1" applyAlignment="1">
      <alignment horizontal="center" vertical="top"/>
    </xf>
    <xf numFmtId="0" fontId="11" fillId="15" borderId="14" xfId="0" applyFont="1" applyFill="1" applyBorder="1" applyAlignment="1">
      <alignment horizontal="left" vertical="top"/>
    </xf>
    <xf numFmtId="1" fontId="11" fillId="15" borderId="14" xfId="0" applyNumberFormat="1" applyFont="1" applyFill="1" applyBorder="1" applyAlignment="1">
      <alignment horizontal="center" vertical="top"/>
    </xf>
    <xf numFmtId="3" fontId="12" fillId="15" borderId="1" xfId="0" applyNumberFormat="1" applyFont="1" applyFill="1" applyBorder="1" applyAlignment="1">
      <alignment horizontal="center" vertical="top"/>
    </xf>
    <xf numFmtId="1" fontId="12" fillId="15" borderId="1" xfId="0" applyNumberFormat="1" applyFont="1" applyFill="1" applyBorder="1" applyAlignment="1">
      <alignment horizontal="center" vertical="top"/>
    </xf>
    <xf numFmtId="4" fontId="12" fillId="15" borderId="1" xfId="0" applyNumberFormat="1" applyFont="1" applyFill="1" applyBorder="1" applyAlignment="1">
      <alignment horizontal="center" vertical="top"/>
    </xf>
    <xf numFmtId="4" fontId="12" fillId="3" borderId="16" xfId="0" applyNumberFormat="1" applyFont="1" applyFill="1" applyBorder="1" applyAlignment="1">
      <alignment horizontal="center" vertical="top"/>
    </xf>
    <xf numFmtId="0" fontId="11" fillId="15" borderId="15" xfId="0" applyFont="1" applyFill="1" applyBorder="1" applyAlignment="1">
      <alignment horizontal="center" vertical="top"/>
    </xf>
    <xf numFmtId="0" fontId="12" fillId="18" borderId="16" xfId="0" applyFont="1" applyFill="1" applyBorder="1" applyAlignment="1">
      <alignment horizontal="center" vertical="top"/>
    </xf>
    <xf numFmtId="0" fontId="12" fillId="18" borderId="13" xfId="0" applyFont="1" applyFill="1" applyBorder="1" applyAlignment="1">
      <alignment horizontal="center" vertical="top" wrapText="1"/>
    </xf>
    <xf numFmtId="0" fontId="12" fillId="10" borderId="13" xfId="0" applyFont="1" applyFill="1" applyBorder="1" applyAlignment="1">
      <alignment horizontal="center" vertical="top" wrapText="1"/>
    </xf>
    <xf numFmtId="0" fontId="12" fillId="16" borderId="13" xfId="0" applyFont="1" applyFill="1" applyBorder="1" applyAlignment="1">
      <alignment horizontal="center" vertical="top" wrapText="1"/>
    </xf>
    <xf numFmtId="3" fontId="12" fillId="17" borderId="15" xfId="0" applyNumberFormat="1" applyFont="1" applyFill="1" applyBorder="1" applyAlignment="1">
      <alignment horizontal="center" vertical="top"/>
    </xf>
    <xf numFmtId="0" fontId="12" fillId="16" borderId="15" xfId="0" applyFont="1" applyFill="1" applyBorder="1" applyAlignment="1">
      <alignment horizontal="center" vertical="top"/>
    </xf>
    <xf numFmtId="0" fontId="12" fillId="16" borderId="1" xfId="0" applyFont="1" applyFill="1" applyBorder="1" applyAlignment="1">
      <alignment horizontal="center" vertical="top"/>
    </xf>
    <xf numFmtId="0" fontId="12" fillId="4" borderId="13" xfId="0" applyFont="1" applyFill="1" applyBorder="1" applyAlignment="1">
      <alignment horizontal="center" vertical="top"/>
    </xf>
    <xf numFmtId="0" fontId="14" fillId="18" borderId="13" xfId="0" applyFont="1" applyFill="1" applyBorder="1" applyAlignment="1">
      <alignment horizontal="center" vertical="top"/>
    </xf>
    <xf numFmtId="0" fontId="15" fillId="18" borderId="13" xfId="0" applyFont="1" applyFill="1" applyBorder="1" applyAlignment="1">
      <alignment horizontal="center" vertical="top"/>
    </xf>
    <xf numFmtId="4" fontId="12" fillId="17" borderId="14" xfId="0" applyNumberFormat="1" applyFont="1" applyFill="1" applyBorder="1" applyAlignment="1">
      <alignment horizontal="center" vertical="top"/>
    </xf>
    <xf numFmtId="0" fontId="12" fillId="15" borderId="15" xfId="0" applyFont="1" applyFill="1" applyBorder="1" applyAlignment="1">
      <alignment horizontal="center" vertical="top"/>
    </xf>
    <xf numFmtId="4" fontId="12" fillId="15" borderId="15" xfId="0" applyNumberFormat="1" applyFont="1" applyFill="1" applyBorder="1" applyAlignment="1">
      <alignment horizontal="center" vertical="top"/>
    </xf>
    <xf numFmtId="3" fontId="11" fillId="4" borderId="13" xfId="0" applyNumberFormat="1" applyFont="1" applyFill="1" applyBorder="1" applyAlignment="1">
      <alignment horizontal="center" vertical="top"/>
    </xf>
    <xf numFmtId="3" fontId="11" fillId="4" borderId="15" xfId="0" applyNumberFormat="1" applyFont="1" applyFill="1" applyBorder="1" applyAlignment="1">
      <alignment horizontal="center" vertical="top"/>
    </xf>
    <xf numFmtId="4" fontId="12" fillId="17" borderId="1" xfId="0" applyNumberFormat="1" applyFont="1" applyFill="1" applyBorder="1" applyAlignment="1">
      <alignment horizontal="center" vertical="top"/>
    </xf>
    <xf numFmtId="0" fontId="3" fillId="14" borderId="0" xfId="0" applyFont="1" applyFill="1" applyAlignment="1">
      <alignment vertical="top"/>
    </xf>
    <xf numFmtId="0" fontId="4" fillId="14" borderId="0" xfId="0" applyFont="1" applyFill="1" applyAlignment="1">
      <alignment horizontal="center" vertical="top"/>
    </xf>
    <xf numFmtId="0" fontId="11" fillId="4" borderId="12" xfId="0" applyFont="1" applyFill="1" applyBorder="1" applyAlignment="1">
      <alignment horizontal="left" vertical="top"/>
    </xf>
    <xf numFmtId="0" fontId="11" fillId="4" borderId="12" xfId="0" applyFont="1" applyFill="1" applyBorder="1" applyAlignment="1">
      <alignment horizontal="center" vertical="top"/>
    </xf>
    <xf numFmtId="3" fontId="11" fillId="4" borderId="12" xfId="0" applyNumberFormat="1" applyFont="1" applyFill="1" applyBorder="1" applyAlignment="1">
      <alignment horizontal="center" vertical="top"/>
    </xf>
    <xf numFmtId="3" fontId="12" fillId="4" borderId="12" xfId="0" applyNumberFormat="1" applyFont="1" applyFill="1" applyBorder="1" applyAlignment="1">
      <alignment horizontal="center" vertical="top"/>
    </xf>
    <xf numFmtId="0" fontId="12" fillId="17" borderId="12" xfId="0" applyFont="1" applyFill="1" applyBorder="1" applyAlignment="1">
      <alignment horizontal="center" vertical="top" wrapText="1"/>
    </xf>
    <xf numFmtId="4" fontId="12" fillId="17" borderId="12" xfId="0" applyNumberFormat="1" applyFont="1" applyFill="1" applyBorder="1" applyAlignment="1">
      <alignment horizontal="center" vertical="top" wrapText="1"/>
    </xf>
    <xf numFmtId="0" fontId="12" fillId="16" borderId="12" xfId="0" applyFont="1" applyFill="1" applyBorder="1" applyAlignment="1">
      <alignment horizontal="center" vertical="top" wrapText="1"/>
    </xf>
    <xf numFmtId="0" fontId="11" fillId="4" borderId="12" xfId="0" applyFont="1" applyFill="1" applyBorder="1" applyAlignment="1">
      <alignment horizontal="center" vertical="center"/>
    </xf>
    <xf numFmtId="0" fontId="12" fillId="16" borderId="12" xfId="0" applyFont="1" applyFill="1" applyBorder="1" applyAlignment="1">
      <alignment horizontal="center" vertical="center"/>
    </xf>
    <xf numFmtId="0" fontId="12" fillId="17" borderId="13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0" fontId="12" fillId="16" borderId="13" xfId="0" applyFont="1" applyFill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12" fillId="17" borderId="3" xfId="0" applyFont="1" applyFill="1" applyBorder="1" applyAlignment="1">
      <alignment horizontal="left" vertical="top" wrapText="1"/>
    </xf>
    <xf numFmtId="4" fontId="12" fillId="15" borderId="12" xfId="0" applyNumberFormat="1" applyFont="1" applyFill="1" applyBorder="1" applyAlignment="1">
      <alignment horizontal="right" vertical="top"/>
    </xf>
    <xf numFmtId="4" fontId="12" fillId="15" borderId="13" xfId="0" applyNumberFormat="1" applyFont="1" applyFill="1" applyBorder="1" applyAlignment="1">
      <alignment horizontal="right" vertical="top"/>
    </xf>
    <xf numFmtId="0" fontId="12" fillId="18" borderId="10" xfId="0" applyFont="1" applyFill="1" applyBorder="1" applyAlignment="1">
      <alignment horizontal="left" vertical="top" wrapText="1"/>
    </xf>
    <xf numFmtId="0" fontId="11" fillId="4" borderId="13" xfId="0" quotePrefix="1" applyFont="1" applyFill="1" applyBorder="1" applyAlignment="1">
      <alignment horizontal="left" vertical="top"/>
    </xf>
    <xf numFmtId="0" fontId="12" fillId="17" borderId="13" xfId="0" applyFont="1" applyFill="1" applyBorder="1" applyAlignment="1">
      <alignment horizontal="left" vertical="top" wrapText="1"/>
    </xf>
    <xf numFmtId="0" fontId="12" fillId="18" borderId="13" xfId="0" applyFont="1" applyFill="1" applyBorder="1" applyAlignment="1">
      <alignment horizontal="left" vertical="top" wrapText="1"/>
    </xf>
    <xf numFmtId="0" fontId="12" fillId="18" borderId="16" xfId="0" applyFont="1" applyFill="1" applyBorder="1" applyAlignment="1">
      <alignment horizontal="left" vertical="top" wrapText="1"/>
    </xf>
    <xf numFmtId="0" fontId="12" fillId="17" borderId="15" xfId="0" applyFont="1" applyFill="1" applyBorder="1" applyAlignment="1">
      <alignment horizontal="left" vertical="top" wrapText="1"/>
    </xf>
    <xf numFmtId="0" fontId="12" fillId="18" borderId="1" xfId="0" applyFont="1" applyFill="1" applyBorder="1" applyAlignment="1">
      <alignment horizontal="left" vertical="top" wrapText="1"/>
    </xf>
    <xf numFmtId="0" fontId="12" fillId="15" borderId="1" xfId="0" applyFont="1" applyFill="1" applyBorder="1" applyAlignment="1">
      <alignment horizontal="left" vertical="top" wrapText="1"/>
    </xf>
    <xf numFmtId="0" fontId="11" fillId="15" borderId="3" xfId="0" applyFont="1" applyFill="1" applyBorder="1" applyAlignment="1">
      <alignment horizontal="center" vertical="top"/>
    </xf>
    <xf numFmtId="0" fontId="11" fillId="15" borderId="3" xfId="0" applyFont="1" applyFill="1" applyBorder="1" applyAlignment="1">
      <alignment horizontal="center" vertical="top" wrapText="1"/>
    </xf>
    <xf numFmtId="0" fontId="11" fillId="15" borderId="1" xfId="0" applyFont="1" applyFill="1" applyBorder="1" applyAlignment="1">
      <alignment horizontal="center" vertical="top"/>
    </xf>
    <xf numFmtId="0" fontId="11" fillId="15" borderId="1" xfId="0" applyFont="1" applyFill="1" applyBorder="1" applyAlignment="1">
      <alignment horizontal="center" vertical="top" wrapText="1"/>
    </xf>
    <xf numFmtId="0" fontId="11" fillId="17" borderId="3" xfId="0" applyFont="1" applyFill="1" applyBorder="1" applyAlignment="1">
      <alignment horizontal="center" vertical="top"/>
    </xf>
    <xf numFmtId="0" fontId="11" fillId="18" borderId="1" xfId="0" applyFont="1" applyFill="1" applyBorder="1" applyAlignment="1">
      <alignment horizontal="center" vertical="top"/>
    </xf>
    <xf numFmtId="0" fontId="11" fillId="18" borderId="11" xfId="0" applyFont="1" applyFill="1" applyBorder="1" applyAlignment="1">
      <alignment horizontal="center" vertical="top"/>
    </xf>
    <xf numFmtId="0" fontId="11" fillId="18" borderId="3" xfId="0" applyFont="1" applyFill="1" applyBorder="1" applyAlignment="1">
      <alignment horizontal="center" vertical="top"/>
    </xf>
    <xf numFmtId="0" fontId="11" fillId="17" borderId="1" xfId="0" applyFont="1" applyFill="1" applyBorder="1" applyAlignment="1">
      <alignment horizontal="center" vertical="top"/>
    </xf>
    <xf numFmtId="0" fontId="11" fillId="18" borderId="12" xfId="0" applyFont="1" applyFill="1" applyBorder="1" applyAlignment="1">
      <alignment horizontal="center" vertical="top"/>
    </xf>
    <xf numFmtId="0" fontId="11" fillId="17" borderId="15" xfId="0" applyFont="1" applyFill="1" applyBorder="1" applyAlignment="1">
      <alignment horizontal="center" vertical="top"/>
    </xf>
    <xf numFmtId="0" fontId="11" fillId="10" borderId="8" xfId="0" applyFont="1" applyFill="1" applyBorder="1" applyAlignment="1">
      <alignment horizontal="center" vertical="top"/>
    </xf>
    <xf numFmtId="0" fontId="11" fillId="18" borderId="1" xfId="0" applyFont="1" applyFill="1" applyBorder="1" applyAlignment="1">
      <alignment horizontal="center" vertical="top" wrapText="1"/>
    </xf>
    <xf numFmtId="0" fontId="12" fillId="15" borderId="16" xfId="0" applyFont="1" applyFill="1" applyBorder="1" applyAlignment="1">
      <alignment horizontal="center" vertical="top"/>
    </xf>
    <xf numFmtId="0" fontId="12" fillId="15" borderId="16" xfId="0" applyFont="1" applyFill="1" applyBorder="1" applyAlignment="1">
      <alignment horizontal="left" vertical="top"/>
    </xf>
    <xf numFmtId="0" fontId="12" fillId="15" borderId="14" xfId="0" applyFont="1" applyFill="1" applyBorder="1" applyAlignment="1">
      <alignment horizontal="center" vertical="top"/>
    </xf>
    <xf numFmtId="0" fontId="12" fillId="15" borderId="14" xfId="0" applyFont="1" applyFill="1" applyBorder="1" applyAlignment="1">
      <alignment horizontal="left" vertical="top"/>
    </xf>
    <xf numFmtId="4" fontId="12" fillId="15" borderId="14" xfId="0" applyNumberFormat="1" applyFont="1" applyFill="1" applyBorder="1" applyAlignment="1">
      <alignment horizontal="right" vertical="top"/>
    </xf>
    <xf numFmtId="0" fontId="3" fillId="16" borderId="3" xfId="0" applyFont="1" applyFill="1" applyBorder="1" applyAlignment="1">
      <alignment vertical="top"/>
    </xf>
    <xf numFmtId="0" fontId="17" fillId="17" borderId="11" xfId="0" applyFont="1" applyFill="1" applyBorder="1" applyAlignment="1">
      <alignment horizontal="center" vertical="top" wrapText="1"/>
    </xf>
    <xf numFmtId="0" fontId="12" fillId="17" borderId="16" xfId="0" applyFont="1" applyFill="1" applyBorder="1" applyAlignment="1">
      <alignment horizontal="left" vertical="top" wrapText="1"/>
    </xf>
    <xf numFmtId="0" fontId="14" fillId="18" borderId="1" xfId="0" applyFont="1" applyFill="1" applyBorder="1" applyAlignment="1">
      <alignment horizontal="center" vertical="top" wrapText="1"/>
    </xf>
    <xf numFmtId="0" fontId="12" fillId="17" borderId="12" xfId="0" applyFont="1" applyFill="1" applyBorder="1" applyAlignment="1">
      <alignment horizontal="left" vertical="top" wrapText="1"/>
    </xf>
    <xf numFmtId="0" fontId="12" fillId="18" borderId="11" xfId="0" applyFont="1" applyFill="1" applyBorder="1" applyAlignment="1">
      <alignment horizontal="left" vertical="top" wrapText="1"/>
    </xf>
    <xf numFmtId="0" fontId="12" fillId="17" borderId="1" xfId="0" applyFont="1" applyFill="1" applyBorder="1" applyAlignment="1">
      <alignment horizontal="left" vertical="top" wrapText="1"/>
    </xf>
    <xf numFmtId="0" fontId="11" fillId="10" borderId="9" xfId="0" applyFont="1" applyFill="1" applyBorder="1" applyAlignment="1">
      <alignment horizontal="center" vertical="top"/>
    </xf>
    <xf numFmtId="0" fontId="12" fillId="17" borderId="4" xfId="0" applyFont="1" applyFill="1" applyBorder="1" applyAlignment="1">
      <alignment horizontal="left" vertical="top" wrapText="1"/>
    </xf>
    <xf numFmtId="0" fontId="12" fillId="15" borderId="12" xfId="0" applyFont="1" applyFill="1" applyBorder="1" applyAlignment="1">
      <alignment horizontal="left" vertical="top" wrapText="1"/>
    </xf>
    <xf numFmtId="0" fontId="12" fillId="15" borderId="13" xfId="0" applyFont="1" applyFill="1" applyBorder="1" applyAlignment="1">
      <alignment horizontal="left" vertical="top" wrapText="1"/>
    </xf>
    <xf numFmtId="0" fontId="12" fillId="15" borderId="15" xfId="0" applyFont="1" applyFill="1" applyBorder="1" applyAlignment="1">
      <alignment horizontal="left" vertical="top" wrapText="1"/>
    </xf>
    <xf numFmtId="0" fontId="11" fillId="4" borderId="13" xfId="0" applyFont="1" applyFill="1" applyBorder="1" applyAlignment="1">
      <alignment horizontal="left" vertical="top" wrapText="1"/>
    </xf>
    <xf numFmtId="0" fontId="11" fillId="4" borderId="15" xfId="0" applyFont="1" applyFill="1" applyBorder="1" applyAlignment="1">
      <alignment horizontal="left" vertical="top" wrapText="1"/>
    </xf>
    <xf numFmtId="0" fontId="12" fillId="3" borderId="16" xfId="0" applyFont="1" applyFill="1" applyBorder="1" applyAlignment="1">
      <alignment horizontal="left" vertical="top" wrapText="1"/>
    </xf>
    <xf numFmtId="0" fontId="11" fillId="15" borderId="13" xfId="0" applyFont="1" applyFill="1" applyBorder="1" applyAlignment="1">
      <alignment horizontal="left" vertical="top" wrapText="1"/>
    </xf>
    <xf numFmtId="0" fontId="12" fillId="15" borderId="13" xfId="0" quotePrefix="1" applyFont="1" applyFill="1" applyBorder="1" applyAlignment="1">
      <alignment horizontal="left" vertical="top" wrapText="1"/>
    </xf>
    <xf numFmtId="0" fontId="11" fillId="15" borderId="13" xfId="0" quotePrefix="1" applyFont="1" applyFill="1" applyBorder="1" applyAlignment="1">
      <alignment horizontal="left" vertical="top" wrapText="1"/>
    </xf>
    <xf numFmtId="0" fontId="11" fillId="15" borderId="15" xfId="0" quotePrefix="1" applyFont="1" applyFill="1" applyBorder="1" applyAlignment="1">
      <alignment horizontal="left" vertical="top" wrapText="1"/>
    </xf>
    <xf numFmtId="0" fontId="12" fillId="18" borderId="7" xfId="0" applyFont="1" applyFill="1" applyBorder="1" applyAlignment="1">
      <alignment horizontal="left" vertical="top" wrapText="1"/>
    </xf>
    <xf numFmtId="0" fontId="18" fillId="18" borderId="10" xfId="0" applyFont="1" applyFill="1" applyBorder="1" applyAlignment="1">
      <alignment horizontal="center" vertical="top" wrapText="1"/>
    </xf>
    <xf numFmtId="0" fontId="11" fillId="17" borderId="1" xfId="0" applyFont="1" applyFill="1" applyBorder="1" applyAlignment="1">
      <alignment horizontal="center" vertical="top" wrapText="1"/>
    </xf>
    <xf numFmtId="0" fontId="17" fillId="18" borderId="1" xfId="0" applyFont="1" applyFill="1" applyBorder="1" applyAlignment="1">
      <alignment horizontal="center" vertical="top"/>
    </xf>
    <xf numFmtId="0" fontId="12" fillId="15" borderId="3" xfId="0" applyFont="1" applyFill="1" applyBorder="1" applyAlignment="1">
      <alignment horizontal="right" vertical="top"/>
    </xf>
    <xf numFmtId="0" fontId="12" fillId="15" borderId="1" xfId="0" applyFont="1" applyFill="1" applyBorder="1" applyAlignment="1">
      <alignment horizontal="right" vertical="top"/>
    </xf>
    <xf numFmtId="0" fontId="12" fillId="17" borderId="12" xfId="0" applyFont="1" applyFill="1" applyBorder="1" applyAlignment="1">
      <alignment horizontal="right" vertical="top"/>
    </xf>
    <xf numFmtId="0" fontId="12" fillId="17" borderId="13" xfId="0" applyFont="1" applyFill="1" applyBorder="1" applyAlignment="1">
      <alignment horizontal="right" vertical="top"/>
    </xf>
    <xf numFmtId="0" fontId="11" fillId="17" borderId="13" xfId="0" applyFont="1" applyFill="1" applyBorder="1" applyAlignment="1">
      <alignment horizontal="right" vertical="top"/>
    </xf>
    <xf numFmtId="0" fontId="12" fillId="18" borderId="14" xfId="0" applyFont="1" applyFill="1" applyBorder="1" applyAlignment="1">
      <alignment horizontal="right" vertical="top"/>
    </xf>
    <xf numFmtId="0" fontId="12" fillId="17" borderId="3" xfId="0" applyFont="1" applyFill="1" applyBorder="1" applyAlignment="1">
      <alignment horizontal="right" vertical="top"/>
    </xf>
    <xf numFmtId="0" fontId="12" fillId="18" borderId="3" xfId="0" applyFont="1" applyFill="1" applyBorder="1" applyAlignment="1">
      <alignment horizontal="right" vertical="top"/>
    </xf>
    <xf numFmtId="0" fontId="12" fillId="15" borderId="16" xfId="0" applyFont="1" applyFill="1" applyBorder="1" applyAlignment="1">
      <alignment horizontal="right" vertical="top"/>
    </xf>
    <xf numFmtId="0" fontId="12" fillId="15" borderId="12" xfId="0" applyFont="1" applyFill="1" applyBorder="1" applyAlignment="1">
      <alignment horizontal="right" vertical="top"/>
    </xf>
    <xf numFmtId="0" fontId="12" fillId="15" borderId="13" xfId="0" applyFont="1" applyFill="1" applyBorder="1" applyAlignment="1">
      <alignment horizontal="right" vertical="top"/>
    </xf>
    <xf numFmtId="0" fontId="12" fillId="15" borderId="14" xfId="0" applyFont="1" applyFill="1" applyBorder="1" applyAlignment="1">
      <alignment horizontal="right" vertical="top"/>
    </xf>
    <xf numFmtId="0" fontId="12" fillId="17" borderId="16" xfId="0" applyFont="1" applyFill="1" applyBorder="1" applyAlignment="1">
      <alignment horizontal="right" vertical="top"/>
    </xf>
    <xf numFmtId="0" fontId="12" fillId="17" borderId="14" xfId="0" applyFont="1" applyFill="1" applyBorder="1" applyAlignment="1">
      <alignment horizontal="right" vertical="top"/>
    </xf>
    <xf numFmtId="0" fontId="11" fillId="4" borderId="13" xfId="0" applyFont="1" applyFill="1" applyBorder="1" applyAlignment="1">
      <alignment horizontal="right" vertical="top"/>
    </xf>
    <xf numFmtId="0" fontId="11" fillId="4" borderId="14" xfId="0" applyFont="1" applyFill="1" applyBorder="1" applyAlignment="1">
      <alignment horizontal="right" vertical="top"/>
    </xf>
    <xf numFmtId="0" fontId="11" fillId="4" borderId="3" xfId="0" applyFont="1" applyFill="1" applyBorder="1" applyAlignment="1">
      <alignment horizontal="right" vertical="top"/>
    </xf>
    <xf numFmtId="0" fontId="12" fillId="18" borderId="11" xfId="0" applyFont="1" applyFill="1" applyBorder="1" applyAlignment="1">
      <alignment horizontal="right" vertical="top"/>
    </xf>
    <xf numFmtId="0" fontId="12" fillId="17" borderId="1" xfId="0" applyFont="1" applyFill="1" applyBorder="1" applyAlignment="1">
      <alignment horizontal="right" vertical="top"/>
    </xf>
    <xf numFmtId="0" fontId="12" fillId="18" borderId="1" xfId="0" applyFont="1" applyFill="1" applyBorder="1" applyAlignment="1">
      <alignment horizontal="right" vertical="top"/>
    </xf>
    <xf numFmtId="0" fontId="12" fillId="18" borderId="8" xfId="0" applyFont="1" applyFill="1" applyBorder="1" applyAlignment="1">
      <alignment horizontal="right" vertical="top"/>
    </xf>
    <xf numFmtId="0" fontId="12" fillId="17" borderId="8" xfId="0" applyFont="1" applyFill="1" applyBorder="1" applyAlignment="1">
      <alignment horizontal="right" vertical="top"/>
    </xf>
    <xf numFmtId="0" fontId="12" fillId="17" borderId="15" xfId="0" applyFont="1" applyFill="1" applyBorder="1" applyAlignment="1">
      <alignment horizontal="right" vertical="top"/>
    </xf>
    <xf numFmtId="0" fontId="12" fillId="3" borderId="16" xfId="0" applyFont="1" applyFill="1" applyBorder="1" applyAlignment="1">
      <alignment horizontal="right" vertical="top"/>
    </xf>
    <xf numFmtId="0" fontId="11" fillId="15" borderId="13" xfId="0" applyFont="1" applyFill="1" applyBorder="1" applyAlignment="1">
      <alignment horizontal="right" vertical="top"/>
    </xf>
    <xf numFmtId="0" fontId="11" fillId="15" borderId="14" xfId="0" applyFont="1" applyFill="1" applyBorder="1" applyAlignment="1">
      <alignment horizontal="right" vertical="top"/>
    </xf>
    <xf numFmtId="0" fontId="11" fillId="15" borderId="15" xfId="0" applyFont="1" applyFill="1" applyBorder="1" applyAlignment="1">
      <alignment horizontal="right" vertical="top"/>
    </xf>
    <xf numFmtId="0" fontId="12" fillId="18" borderId="16" xfId="0" applyFont="1" applyFill="1" applyBorder="1" applyAlignment="1">
      <alignment horizontal="right" vertical="top"/>
    </xf>
    <xf numFmtId="0" fontId="12" fillId="18" borderId="13" xfId="0" applyFont="1" applyFill="1" applyBorder="1" applyAlignment="1">
      <alignment horizontal="right" vertical="top"/>
    </xf>
    <xf numFmtId="0" fontId="12" fillId="15" borderId="15" xfId="0" applyFont="1" applyFill="1" applyBorder="1" applyAlignment="1">
      <alignment horizontal="right" vertical="top"/>
    </xf>
    <xf numFmtId="0" fontId="11" fillId="4" borderId="15" xfId="0" applyFont="1" applyFill="1" applyBorder="1" applyAlignment="1">
      <alignment horizontal="right" vertical="top"/>
    </xf>
    <xf numFmtId="0" fontId="12" fillId="17" borderId="18" xfId="0" applyFont="1" applyFill="1" applyBorder="1" applyAlignment="1">
      <alignment horizontal="right" vertical="top"/>
    </xf>
    <xf numFmtId="0" fontId="11" fillId="4" borderId="18" xfId="0" applyFont="1" applyFill="1" applyBorder="1" applyAlignment="1">
      <alignment horizontal="right" vertical="top"/>
    </xf>
    <xf numFmtId="0" fontId="12" fillId="17" borderId="4" xfId="0" applyFont="1" applyFill="1" applyBorder="1" applyAlignment="1">
      <alignment horizontal="right" vertical="top"/>
    </xf>
    <xf numFmtId="0" fontId="12" fillId="17" borderId="19" xfId="0" applyFont="1" applyFill="1" applyBorder="1" applyAlignment="1">
      <alignment horizontal="right" vertical="top"/>
    </xf>
    <xf numFmtId="0" fontId="12" fillId="17" borderId="17" xfId="0" applyFont="1" applyFill="1" applyBorder="1" applyAlignment="1">
      <alignment horizontal="right" vertical="top"/>
    </xf>
    <xf numFmtId="0" fontId="12" fillId="17" borderId="20" xfId="0" applyFont="1" applyFill="1" applyBorder="1" applyAlignment="1">
      <alignment horizontal="right" vertical="top"/>
    </xf>
    <xf numFmtId="0" fontId="0" fillId="0" borderId="0" xfId="0" applyFont="1" applyAlignment="1">
      <alignment horizontal="right"/>
    </xf>
    <xf numFmtId="49" fontId="12" fillId="0" borderId="0" xfId="0" applyNumberFormat="1" applyFont="1" applyAlignment="1">
      <alignment horizontal="right" vertical="top"/>
    </xf>
    <xf numFmtId="49" fontId="12" fillId="15" borderId="3" xfId="0" applyNumberFormat="1" applyFont="1" applyFill="1" applyBorder="1" applyAlignment="1">
      <alignment horizontal="right" vertical="top"/>
    </xf>
    <xf numFmtId="49" fontId="12" fillId="15" borderId="1" xfId="0" applyNumberFormat="1" applyFont="1" applyFill="1" applyBorder="1" applyAlignment="1">
      <alignment horizontal="right" vertical="top"/>
    </xf>
    <xf numFmtId="49" fontId="12" fillId="17" borderId="12" xfId="0" applyNumberFormat="1" applyFont="1" applyFill="1" applyBorder="1" applyAlignment="1">
      <alignment horizontal="right" vertical="top"/>
    </xf>
    <xf numFmtId="49" fontId="12" fillId="18" borderId="14" xfId="0" applyNumberFormat="1" applyFont="1" applyFill="1" applyBorder="1" applyAlignment="1">
      <alignment horizontal="right" vertical="top"/>
    </xf>
    <xf numFmtId="49" fontId="12" fillId="17" borderId="3" xfId="0" applyNumberFormat="1" applyFont="1" applyFill="1" applyBorder="1" applyAlignment="1">
      <alignment horizontal="right" vertical="top"/>
    </xf>
    <xf numFmtId="49" fontId="12" fillId="18" borderId="3" xfId="0" applyNumberFormat="1" applyFont="1" applyFill="1" applyBorder="1" applyAlignment="1">
      <alignment horizontal="right" vertical="top"/>
    </xf>
    <xf numFmtId="49" fontId="12" fillId="17" borderId="1" xfId="0" applyNumberFormat="1" applyFont="1" applyFill="1" applyBorder="1" applyAlignment="1">
      <alignment horizontal="right" vertical="top"/>
    </xf>
    <xf numFmtId="49" fontId="12" fillId="18" borderId="1" xfId="0" applyNumberFormat="1" applyFont="1" applyFill="1" applyBorder="1" applyAlignment="1">
      <alignment horizontal="right" vertical="top"/>
    </xf>
    <xf numFmtId="49" fontId="12" fillId="17" borderId="8" xfId="0" applyNumberFormat="1" applyFont="1" applyFill="1" applyBorder="1" applyAlignment="1">
      <alignment horizontal="right" vertical="top"/>
    </xf>
    <xf numFmtId="49" fontId="12" fillId="17" borderId="16" xfId="0" applyNumberFormat="1" applyFont="1" applyFill="1" applyBorder="1" applyAlignment="1">
      <alignment horizontal="right" vertical="top"/>
    </xf>
    <xf numFmtId="49" fontId="12" fillId="17" borderId="13" xfId="0" applyNumberFormat="1" applyFont="1" applyFill="1" applyBorder="1" applyAlignment="1">
      <alignment horizontal="right" vertical="top"/>
    </xf>
    <xf numFmtId="49" fontId="12" fillId="17" borderId="15" xfId="0" applyNumberFormat="1" applyFont="1" applyFill="1" applyBorder="1" applyAlignment="1">
      <alignment horizontal="right" vertical="top"/>
    </xf>
    <xf numFmtId="49" fontId="12" fillId="17" borderId="14" xfId="0" applyNumberFormat="1" applyFont="1" applyFill="1" applyBorder="1" applyAlignment="1">
      <alignment horizontal="right" vertical="top"/>
    </xf>
    <xf numFmtId="0" fontId="12" fillId="18" borderId="8" xfId="0" applyFont="1" applyFill="1" applyBorder="1" applyAlignment="1">
      <alignment horizontal="left" vertical="top" wrapText="1"/>
    </xf>
    <xf numFmtId="0" fontId="11" fillId="4" borderId="14" xfId="0" applyFont="1" applyFill="1" applyBorder="1" applyAlignment="1">
      <alignment horizontal="left" vertical="top" wrapText="1"/>
    </xf>
    <xf numFmtId="0" fontId="19" fillId="0" borderId="0" xfId="0" applyFont="1" applyBorder="1" applyAlignment="1">
      <alignment vertical="top"/>
    </xf>
    <xf numFmtId="0" fontId="1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/>
    <xf numFmtId="0" fontId="3" fillId="0" borderId="0" xfId="0" applyFont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49" fontId="12" fillId="17" borderId="15" xfId="0" applyNumberFormat="1" applyFont="1" applyFill="1" applyBorder="1" applyAlignment="1">
      <alignment horizontal="right" vertical="top"/>
    </xf>
    <xf numFmtId="0" fontId="13" fillId="0" borderId="11" xfId="0" applyFont="1" applyBorder="1" applyAlignment="1">
      <alignment horizontal="right"/>
    </xf>
    <xf numFmtId="0" fontId="13" fillId="0" borderId="12" xfId="0" applyFont="1" applyBorder="1" applyAlignment="1">
      <alignment horizontal="right"/>
    </xf>
    <xf numFmtId="0" fontId="11" fillId="17" borderId="15" xfId="0" applyFont="1" applyFill="1" applyBorder="1" applyAlignment="1">
      <alignment horizontal="center" vertical="top"/>
    </xf>
    <xf numFmtId="0" fontId="13" fillId="0" borderId="11" xfId="0" applyFont="1" applyBorder="1"/>
    <xf numFmtId="0" fontId="13" fillId="0" borderId="3" xfId="0" applyFont="1" applyBorder="1"/>
    <xf numFmtId="49" fontId="12" fillId="15" borderId="8" xfId="0" applyNumberFormat="1" applyFont="1" applyFill="1" applyBorder="1" applyAlignment="1">
      <alignment horizontal="right" vertical="top"/>
    </xf>
    <xf numFmtId="0" fontId="13" fillId="0" borderId="3" xfId="0" applyFont="1" applyBorder="1" applyAlignment="1">
      <alignment horizontal="right"/>
    </xf>
    <xf numFmtId="0" fontId="11" fillId="15" borderId="8" xfId="0" applyFont="1" applyFill="1" applyBorder="1" applyAlignment="1">
      <alignment horizontal="center" vertical="center"/>
    </xf>
    <xf numFmtId="0" fontId="13" fillId="0" borderId="11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1" fillId="15" borderId="8" xfId="0" applyFont="1" applyFill="1" applyBorder="1" applyAlignment="1">
      <alignment horizontal="center" vertical="center" wrapText="1"/>
    </xf>
    <xf numFmtId="49" fontId="12" fillId="17" borderId="8" xfId="0" applyNumberFormat="1" applyFont="1" applyFill="1" applyBorder="1" applyAlignment="1">
      <alignment horizontal="right" vertical="top"/>
    </xf>
    <xf numFmtId="0" fontId="11" fillId="17" borderId="8" xfId="0" applyFont="1" applyFill="1" applyBorder="1" applyAlignment="1">
      <alignment horizontal="center" vertical="center"/>
    </xf>
    <xf numFmtId="0" fontId="11" fillId="17" borderId="11" xfId="0" applyFont="1" applyFill="1" applyBorder="1" applyAlignment="1">
      <alignment horizontal="center" vertical="center"/>
    </xf>
    <xf numFmtId="49" fontId="12" fillId="17" borderId="11" xfId="0" applyNumberFormat="1" applyFont="1" applyFill="1" applyBorder="1" applyAlignment="1">
      <alignment horizontal="right" vertical="top"/>
    </xf>
    <xf numFmtId="0" fontId="11" fillId="17" borderId="11" xfId="0" applyFont="1" applyFill="1" applyBorder="1" applyAlignment="1">
      <alignment horizontal="center" vertical="top"/>
    </xf>
    <xf numFmtId="0" fontId="11" fillId="17" borderId="8" xfId="0" applyFont="1" applyFill="1" applyBorder="1" applyAlignment="1">
      <alignment horizontal="center" vertical="top"/>
    </xf>
    <xf numFmtId="49" fontId="12" fillId="3" borderId="8" xfId="0" applyNumberFormat="1" applyFont="1" applyFill="1" applyBorder="1" applyAlignment="1">
      <alignment horizontal="right" vertical="top"/>
    </xf>
    <xf numFmtId="0" fontId="11" fillId="3" borderId="8" xfId="0" applyFont="1" applyFill="1" applyBorder="1" applyAlignment="1">
      <alignment horizontal="center" vertical="center"/>
    </xf>
    <xf numFmtId="49" fontId="12" fillId="18" borderId="8" xfId="0" applyNumberFormat="1" applyFont="1" applyFill="1" applyBorder="1" applyAlignment="1">
      <alignment horizontal="right" vertical="top"/>
    </xf>
    <xf numFmtId="0" fontId="13" fillId="0" borderId="12" xfId="0" applyFont="1" applyBorder="1" applyAlignment="1">
      <alignment vertical="center"/>
    </xf>
    <xf numFmtId="0" fontId="11" fillId="17" borderId="17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2" fillId="14" borderId="5" xfId="0" applyFont="1" applyFill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11" fillId="17" borderId="15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left" vertical="center"/>
    </xf>
    <xf numFmtId="0" fontId="16" fillId="11" borderId="6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left" vertical="center"/>
    </xf>
    <xf numFmtId="0" fontId="16" fillId="12" borderId="5" xfId="0" applyFont="1" applyFill="1" applyBorder="1" applyAlignment="1">
      <alignment horizontal="left" vertical="center"/>
    </xf>
    <xf numFmtId="0" fontId="16" fillId="12" borderId="6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left" vertical="center"/>
    </xf>
    <xf numFmtId="0" fontId="16" fillId="13" borderId="5" xfId="0" applyFont="1" applyFill="1" applyBorder="1" applyAlignment="1">
      <alignment horizontal="left" vertical="center"/>
    </xf>
    <xf numFmtId="0" fontId="16" fillId="13" borderId="6" xfId="0" applyFont="1" applyFill="1" applyBorder="1" applyAlignment="1">
      <alignment horizontal="left" vertical="center"/>
    </xf>
    <xf numFmtId="0" fontId="16" fillId="13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vertical="center"/>
    </xf>
    <xf numFmtId="0" fontId="11" fillId="17" borderId="15" xfId="0" applyFont="1" applyFill="1" applyBorder="1" applyAlignment="1">
      <alignment horizontal="center" vertical="center" wrapText="1"/>
    </xf>
    <xf numFmtId="49" fontId="12" fillId="15" borderId="11" xfId="0" applyNumberFormat="1" applyFont="1" applyFill="1" applyBorder="1" applyAlignment="1">
      <alignment horizontal="right" vertical="top"/>
    </xf>
    <xf numFmtId="0" fontId="11" fillId="15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FC5E8"/>
    <outlinePr summaryBelow="0" summaryRight="0"/>
    <pageSetUpPr fitToPage="1"/>
  </sheetPr>
  <dimension ref="A1:M998"/>
  <sheetViews>
    <sheetView workbookViewId="0">
      <selection activeCell="M16" sqref="M16"/>
    </sheetView>
  </sheetViews>
  <sheetFormatPr defaultColWidth="12.5703125" defaultRowHeight="15.75" customHeight="1" x14ac:dyDescent="0.35"/>
  <cols>
    <col min="1" max="1" width="2.5703125" style="1" customWidth="1"/>
    <col min="2" max="2" width="3.85546875" style="1" customWidth="1"/>
    <col min="3" max="3" width="9.7109375" style="1" customWidth="1"/>
    <col min="4" max="6" width="7.85546875" style="1" customWidth="1"/>
    <col min="7" max="7" width="9.7109375" style="1" customWidth="1"/>
    <col min="8" max="8" width="10.28515625" style="1" customWidth="1"/>
    <col min="9" max="9" width="12.28515625" style="1" customWidth="1"/>
    <col min="10" max="10" width="13.42578125" style="1" customWidth="1"/>
    <col min="11" max="12" width="7.85546875" style="1" customWidth="1"/>
    <col min="13" max="16384" width="12.5703125" style="1"/>
  </cols>
  <sheetData>
    <row r="1" spans="1:13" ht="15.75" customHeight="1" x14ac:dyDescent="0.55000000000000004">
      <c r="A1" s="266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</row>
    <row r="2" spans="1:13" ht="15.75" customHeight="1" x14ac:dyDescent="0.5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ht="21.75" x14ac:dyDescent="0.35">
      <c r="A3" s="4"/>
      <c r="B3" s="5" t="s">
        <v>1</v>
      </c>
      <c r="C3" s="260" t="s">
        <v>2</v>
      </c>
      <c r="D3" s="259"/>
      <c r="E3" s="259"/>
      <c r="F3" s="259"/>
      <c r="G3" s="4"/>
      <c r="H3" s="4"/>
      <c r="I3" s="4"/>
      <c r="J3" s="4"/>
      <c r="K3" s="4"/>
      <c r="L3" s="4"/>
    </row>
    <row r="4" spans="1:13" ht="21.75" x14ac:dyDescent="0.35">
      <c r="A4" s="4"/>
      <c r="B4" s="6"/>
      <c r="C4" s="258" t="s">
        <v>3</v>
      </c>
      <c r="D4" s="259"/>
      <c r="E4" s="259"/>
      <c r="F4" s="259"/>
      <c r="G4" s="259"/>
      <c r="H4" s="259"/>
      <c r="I4" s="259"/>
      <c r="J4" s="259"/>
      <c r="K4" s="259"/>
      <c r="L4" s="259"/>
    </row>
    <row r="5" spans="1:13" ht="21.75" x14ac:dyDescent="0.35">
      <c r="A5" s="4"/>
      <c r="B5" s="6"/>
      <c r="C5" s="267" t="s">
        <v>4</v>
      </c>
      <c r="D5" s="259"/>
      <c r="E5" s="259"/>
      <c r="F5" s="259"/>
      <c r="G5" s="259"/>
      <c r="H5" s="259"/>
      <c r="I5" s="259"/>
      <c r="J5" s="259"/>
      <c r="K5" s="259"/>
      <c r="L5" s="259"/>
      <c r="M5" s="7"/>
    </row>
    <row r="6" spans="1:13" ht="21.75" x14ac:dyDescent="0.35">
      <c r="A6" s="4"/>
      <c r="B6" s="6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ht="21.75" x14ac:dyDescent="0.35">
      <c r="A7" s="4"/>
      <c r="B7" s="5" t="s">
        <v>5</v>
      </c>
      <c r="C7" s="258" t="s">
        <v>6</v>
      </c>
      <c r="D7" s="259"/>
      <c r="E7" s="259"/>
      <c r="F7" s="259"/>
      <c r="G7" s="259"/>
      <c r="H7" s="259"/>
      <c r="I7" s="259"/>
      <c r="J7" s="259"/>
      <c r="K7" s="259"/>
      <c r="L7" s="259"/>
    </row>
    <row r="8" spans="1:13" ht="21.75" x14ac:dyDescent="0.35">
      <c r="A8" s="4"/>
      <c r="B8" s="5"/>
      <c r="C8" s="258" t="s">
        <v>7</v>
      </c>
      <c r="D8" s="259"/>
      <c r="E8" s="259"/>
      <c r="F8" s="259"/>
      <c r="G8" s="259"/>
      <c r="H8" s="259"/>
      <c r="I8" s="259"/>
      <c r="J8" s="259"/>
      <c r="K8" s="259"/>
      <c r="L8" s="259"/>
    </row>
    <row r="9" spans="1:13" ht="21.75" x14ac:dyDescent="0.35">
      <c r="A9" s="4"/>
      <c r="B9" s="6"/>
      <c r="C9" s="262" t="s">
        <v>8</v>
      </c>
      <c r="D9" s="259"/>
      <c r="E9" s="259"/>
      <c r="F9" s="259"/>
      <c r="G9" s="259"/>
      <c r="H9" s="259"/>
      <c r="I9" s="259"/>
      <c r="J9" s="259"/>
      <c r="K9" s="259"/>
      <c r="L9" s="259"/>
    </row>
    <row r="10" spans="1:13" ht="21.75" x14ac:dyDescent="0.35">
      <c r="A10" s="4"/>
      <c r="B10" s="6"/>
      <c r="C10" s="263" t="s">
        <v>384</v>
      </c>
      <c r="D10" s="259"/>
      <c r="E10" s="259"/>
      <c r="F10" s="259"/>
      <c r="G10" s="259"/>
      <c r="H10" s="259"/>
      <c r="I10" s="259"/>
      <c r="J10" s="259"/>
      <c r="K10" s="259"/>
      <c r="L10" s="259"/>
    </row>
    <row r="11" spans="1:13" ht="21.75" x14ac:dyDescent="0.35">
      <c r="A11" s="4"/>
      <c r="B11" s="6"/>
      <c r="C11" s="264" t="s">
        <v>385</v>
      </c>
      <c r="D11" s="259"/>
      <c r="E11" s="259"/>
      <c r="F11" s="259"/>
      <c r="G11" s="259"/>
      <c r="H11" s="259"/>
      <c r="I11" s="259"/>
      <c r="J11" s="259"/>
      <c r="K11" s="259"/>
      <c r="L11" s="259"/>
    </row>
    <row r="12" spans="1:13" ht="21.75" x14ac:dyDescent="0.35">
      <c r="A12" s="4"/>
      <c r="B12" s="6"/>
      <c r="C12" s="265" t="s">
        <v>386</v>
      </c>
      <c r="D12" s="259"/>
      <c r="E12" s="259"/>
      <c r="F12" s="259"/>
      <c r="G12" s="259"/>
      <c r="H12" s="259"/>
      <c r="I12" s="259"/>
      <c r="J12" s="259"/>
      <c r="K12" s="259"/>
      <c r="L12" s="259"/>
    </row>
    <row r="13" spans="1:13" ht="21.75" x14ac:dyDescent="0.35">
      <c r="A13" s="4"/>
      <c r="B13" s="6"/>
      <c r="C13" s="9" t="s">
        <v>9</v>
      </c>
      <c r="D13" s="258" t="s">
        <v>10</v>
      </c>
      <c r="E13" s="259"/>
      <c r="F13" s="259"/>
      <c r="G13" s="10"/>
      <c r="H13" s="10"/>
      <c r="I13" s="10"/>
      <c r="J13" s="10"/>
      <c r="K13" s="10"/>
      <c r="L13" s="8"/>
    </row>
    <row r="14" spans="1:13" ht="21.75" x14ac:dyDescent="0.35">
      <c r="A14" s="4"/>
      <c r="B14" s="6"/>
      <c r="C14" s="11"/>
      <c r="D14" s="8"/>
      <c r="E14" s="258" t="s">
        <v>11</v>
      </c>
      <c r="F14" s="259"/>
      <c r="G14" s="258" t="s">
        <v>12</v>
      </c>
      <c r="H14" s="259"/>
      <c r="I14" s="12">
        <v>3</v>
      </c>
      <c r="J14" s="12" t="s">
        <v>13</v>
      </c>
      <c r="K14" s="8"/>
      <c r="L14" s="8"/>
    </row>
    <row r="15" spans="1:13" ht="21.75" x14ac:dyDescent="0.35">
      <c r="A15" s="4"/>
      <c r="B15" s="6"/>
      <c r="C15" s="11"/>
      <c r="D15" s="8"/>
      <c r="E15" s="258" t="s">
        <v>14</v>
      </c>
      <c r="F15" s="259"/>
      <c r="G15" s="258" t="s">
        <v>12</v>
      </c>
      <c r="H15" s="259"/>
      <c r="I15" s="12">
        <v>1</v>
      </c>
      <c r="J15" s="12" t="s">
        <v>13</v>
      </c>
      <c r="K15" s="8"/>
      <c r="L15" s="8"/>
    </row>
    <row r="16" spans="1:13" ht="21.75" x14ac:dyDescent="0.35">
      <c r="A16" s="4"/>
      <c r="B16" s="6"/>
      <c r="C16" s="11"/>
      <c r="D16" s="8"/>
      <c r="E16" s="258" t="s">
        <v>15</v>
      </c>
      <c r="F16" s="259"/>
      <c r="G16" s="258" t="s">
        <v>12</v>
      </c>
      <c r="H16" s="259"/>
      <c r="I16" s="12">
        <v>4</v>
      </c>
      <c r="J16" s="12" t="s">
        <v>13</v>
      </c>
      <c r="K16" s="8"/>
      <c r="L16" s="8"/>
    </row>
    <row r="17" spans="1:12" ht="21.75" x14ac:dyDescent="0.35">
      <c r="A17" s="4"/>
      <c r="B17" s="6"/>
      <c r="C17" s="11"/>
      <c r="D17" s="8"/>
      <c r="E17" s="258" t="s">
        <v>16</v>
      </c>
      <c r="F17" s="259"/>
      <c r="G17" s="258" t="s">
        <v>12</v>
      </c>
      <c r="H17" s="259"/>
      <c r="I17" s="12">
        <v>8</v>
      </c>
      <c r="J17" s="12" t="s">
        <v>13</v>
      </c>
      <c r="K17" s="8"/>
      <c r="L17" s="8"/>
    </row>
    <row r="18" spans="1:12" ht="21.75" x14ac:dyDescent="0.35">
      <c r="A18" s="4"/>
      <c r="B18" s="6"/>
      <c r="C18" s="11"/>
      <c r="D18" s="258" t="s">
        <v>17</v>
      </c>
      <c r="E18" s="259"/>
      <c r="F18" s="8"/>
      <c r="G18" s="8"/>
      <c r="H18" s="8"/>
      <c r="I18" s="12"/>
      <c r="J18" s="12"/>
      <c r="K18" s="8"/>
      <c r="L18" s="8"/>
    </row>
    <row r="19" spans="1:12" ht="21.75" x14ac:dyDescent="0.35">
      <c r="A19" s="4"/>
      <c r="B19" s="6"/>
      <c r="C19" s="11"/>
      <c r="D19" s="8"/>
      <c r="E19" s="8"/>
      <c r="F19" s="8"/>
      <c r="G19" s="8"/>
      <c r="H19" s="8"/>
      <c r="I19" s="12"/>
      <c r="J19" s="12"/>
      <c r="K19" s="8"/>
      <c r="L19" s="8"/>
    </row>
    <row r="20" spans="1:12" ht="21.75" x14ac:dyDescent="0.35">
      <c r="A20" s="4"/>
      <c r="B20" s="6"/>
      <c r="C20" s="11"/>
      <c r="D20" s="8"/>
      <c r="E20" s="13" t="s">
        <v>18</v>
      </c>
      <c r="F20" s="14" t="s">
        <v>19</v>
      </c>
      <c r="G20" s="14" t="s">
        <v>20</v>
      </c>
      <c r="H20" s="14" t="s">
        <v>21</v>
      </c>
      <c r="I20" s="14" t="s">
        <v>22</v>
      </c>
      <c r="J20" s="14" t="s">
        <v>23</v>
      </c>
      <c r="K20" s="8"/>
      <c r="L20" s="8"/>
    </row>
    <row r="21" spans="1:12" ht="21.75" x14ac:dyDescent="0.35">
      <c r="A21" s="4"/>
      <c r="B21" s="6"/>
      <c r="C21" s="11"/>
      <c r="D21" s="8"/>
      <c r="E21" s="15" t="s">
        <v>24</v>
      </c>
      <c r="F21" s="16" t="s">
        <v>13</v>
      </c>
      <c r="G21" s="16">
        <v>3</v>
      </c>
      <c r="H21" s="16" t="s">
        <v>25</v>
      </c>
      <c r="I21" s="16" t="s">
        <v>26</v>
      </c>
      <c r="J21" s="16" t="s">
        <v>27</v>
      </c>
      <c r="K21" s="8"/>
      <c r="L21" s="8"/>
    </row>
    <row r="22" spans="1:12" ht="21.75" x14ac:dyDescent="0.35">
      <c r="A22" s="4"/>
      <c r="B22" s="6"/>
      <c r="C22" s="11"/>
      <c r="D22" s="8"/>
      <c r="E22" s="17"/>
      <c r="F22" s="18"/>
      <c r="G22" s="18"/>
      <c r="H22" s="18"/>
      <c r="I22" s="18"/>
      <c r="J22" s="18"/>
      <c r="K22" s="8"/>
      <c r="L22" s="8"/>
    </row>
    <row r="23" spans="1:12" ht="21.75" x14ac:dyDescent="0.35">
      <c r="A23" s="4"/>
      <c r="B23" s="6"/>
      <c r="C23" s="260" t="s">
        <v>28</v>
      </c>
      <c r="D23" s="259"/>
      <c r="E23" s="259"/>
      <c r="F23" s="259"/>
      <c r="G23" s="259"/>
      <c r="H23" s="259"/>
      <c r="I23" s="259"/>
      <c r="J23" s="259"/>
      <c r="K23" s="259"/>
      <c r="L23" s="8"/>
    </row>
    <row r="24" spans="1:12" ht="21.75" x14ac:dyDescent="0.35">
      <c r="A24" s="4"/>
      <c r="B24" s="6"/>
      <c r="C24" s="260" t="s">
        <v>29</v>
      </c>
      <c r="D24" s="259"/>
      <c r="E24" s="259"/>
      <c r="F24" s="259"/>
      <c r="G24" s="259"/>
      <c r="H24" s="259"/>
      <c r="I24" s="259"/>
      <c r="J24" s="259"/>
      <c r="K24" s="259"/>
      <c r="L24" s="8"/>
    </row>
    <row r="25" spans="1:12" ht="21.75" x14ac:dyDescent="0.35">
      <c r="A25" s="4"/>
      <c r="B25" s="6"/>
      <c r="C25" s="260" t="s">
        <v>30</v>
      </c>
      <c r="D25" s="259"/>
      <c r="E25" s="259"/>
      <c r="F25" s="259"/>
      <c r="G25" s="259"/>
      <c r="H25" s="259"/>
      <c r="I25" s="259"/>
      <c r="J25" s="18"/>
      <c r="K25" s="8"/>
      <c r="L25" s="8"/>
    </row>
    <row r="26" spans="1:12" ht="21.75" x14ac:dyDescent="0.35">
      <c r="A26" s="4"/>
      <c r="B26" s="6"/>
      <c r="C26" s="260" t="s">
        <v>31</v>
      </c>
      <c r="D26" s="259"/>
      <c r="E26" s="259"/>
      <c r="F26" s="259"/>
      <c r="G26" s="259"/>
      <c r="H26" s="259"/>
      <c r="I26" s="259"/>
      <c r="J26" s="259"/>
      <c r="K26" s="259"/>
      <c r="L26" s="8"/>
    </row>
    <row r="27" spans="1:12" ht="21.75" x14ac:dyDescent="0.35">
      <c r="A27" s="4"/>
      <c r="B27" s="6"/>
      <c r="C27" s="258" t="s">
        <v>387</v>
      </c>
      <c r="D27" s="259"/>
      <c r="E27" s="259"/>
      <c r="F27" s="259"/>
      <c r="G27" s="259"/>
      <c r="H27" s="259"/>
      <c r="I27" s="259"/>
      <c r="J27" s="259"/>
      <c r="K27" s="259"/>
      <c r="L27" s="259"/>
    </row>
    <row r="28" spans="1:12" ht="21.75" x14ac:dyDescent="0.35">
      <c r="A28" s="4"/>
      <c r="B28" s="6"/>
      <c r="C28" s="258" t="s">
        <v>32</v>
      </c>
      <c r="D28" s="259"/>
      <c r="E28" s="259"/>
      <c r="F28" s="259"/>
      <c r="G28" s="259"/>
      <c r="H28" s="259"/>
      <c r="I28" s="259"/>
      <c r="J28" s="259"/>
      <c r="K28" s="259"/>
      <c r="L28" s="8"/>
    </row>
    <row r="29" spans="1:12" ht="21.75" x14ac:dyDescent="0.35">
      <c r="A29" s="4"/>
      <c r="B29" s="5"/>
      <c r="C29" s="258" t="s">
        <v>33</v>
      </c>
      <c r="D29" s="259"/>
      <c r="E29" s="259"/>
      <c r="F29" s="259"/>
      <c r="G29" s="259"/>
      <c r="H29" s="259"/>
      <c r="I29" s="259"/>
      <c r="J29" s="259"/>
      <c r="K29" s="259"/>
      <c r="L29" s="259"/>
    </row>
    <row r="30" spans="1:12" ht="21.75" x14ac:dyDescent="0.35">
      <c r="A30" s="4"/>
      <c r="B30" s="6"/>
      <c r="C30" s="260" t="s">
        <v>34</v>
      </c>
      <c r="D30" s="259"/>
      <c r="E30" s="259"/>
      <c r="F30" s="259"/>
      <c r="G30" s="259"/>
      <c r="H30" s="259"/>
      <c r="I30" s="259"/>
      <c r="J30" s="259"/>
      <c r="K30" s="259"/>
      <c r="L30" s="259"/>
    </row>
    <row r="31" spans="1:12" ht="21.75" x14ac:dyDescent="0.35">
      <c r="A31" s="4"/>
      <c r="B31" s="6"/>
      <c r="C31" s="260" t="s">
        <v>35</v>
      </c>
      <c r="D31" s="259"/>
      <c r="E31" s="259"/>
      <c r="F31" s="259"/>
      <c r="G31" s="259"/>
      <c r="H31" s="259"/>
      <c r="I31" s="259"/>
      <c r="J31" s="259"/>
      <c r="K31" s="259"/>
      <c r="L31" s="259"/>
    </row>
    <row r="32" spans="1:12" ht="21.75" x14ac:dyDescent="0.35">
      <c r="A32" s="4"/>
      <c r="B32" s="6"/>
      <c r="C32" s="260" t="s">
        <v>36</v>
      </c>
      <c r="D32" s="259"/>
      <c r="E32" s="259"/>
      <c r="F32" s="259"/>
      <c r="G32" s="259"/>
      <c r="H32" s="259"/>
      <c r="I32" s="259"/>
      <c r="J32" s="259"/>
      <c r="K32" s="259"/>
      <c r="L32" s="259"/>
    </row>
    <row r="33" spans="1:12" ht="24" x14ac:dyDescent="0.35">
      <c r="A33" s="4"/>
      <c r="B33" s="6"/>
      <c r="C33" s="261" t="s">
        <v>37</v>
      </c>
      <c r="D33" s="259"/>
      <c r="E33" s="259"/>
      <c r="F33" s="259"/>
      <c r="G33" s="259"/>
      <c r="H33" s="259"/>
      <c r="I33" s="259"/>
      <c r="J33" s="259"/>
      <c r="K33" s="259"/>
      <c r="L33" s="259"/>
    </row>
    <row r="34" spans="1:12" ht="24" x14ac:dyDescent="0.35">
      <c r="A34" s="4"/>
      <c r="B34" s="6"/>
      <c r="C34" s="261" t="s">
        <v>38</v>
      </c>
      <c r="D34" s="259"/>
      <c r="E34" s="259"/>
      <c r="F34" s="19"/>
      <c r="G34" s="19"/>
      <c r="H34" s="19"/>
      <c r="I34" s="19"/>
      <c r="J34" s="19"/>
      <c r="K34" s="19"/>
      <c r="L34" s="19"/>
    </row>
    <row r="35" spans="1:12" ht="15.75" customHeight="1" x14ac:dyDescent="0.5">
      <c r="A35" s="2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1.75" x14ac:dyDescent="0.35">
      <c r="A36" s="4"/>
      <c r="B36" s="5" t="s">
        <v>39</v>
      </c>
      <c r="C36" s="258" t="s">
        <v>40</v>
      </c>
      <c r="D36" s="259"/>
      <c r="E36" s="259"/>
      <c r="F36" s="259"/>
      <c r="G36" s="259"/>
      <c r="H36" s="259"/>
      <c r="I36" s="259"/>
      <c r="J36" s="259"/>
      <c r="K36" s="259"/>
      <c r="L36" s="259"/>
    </row>
    <row r="37" spans="1:12" ht="21.75" x14ac:dyDescent="0.35">
      <c r="A37" s="4"/>
      <c r="B37" s="6"/>
      <c r="C37" s="260" t="s">
        <v>41</v>
      </c>
      <c r="D37" s="259"/>
      <c r="E37" s="259"/>
      <c r="F37" s="259"/>
      <c r="G37" s="259"/>
      <c r="H37" s="259"/>
      <c r="I37" s="259"/>
      <c r="J37" s="259"/>
      <c r="K37" s="259"/>
      <c r="L37" s="259"/>
    </row>
    <row r="38" spans="1:12" ht="21.75" x14ac:dyDescent="0.35">
      <c r="A38" s="4"/>
      <c r="B38" s="6"/>
      <c r="C38" s="258" t="s">
        <v>42</v>
      </c>
      <c r="D38" s="259"/>
      <c r="E38" s="259"/>
      <c r="F38" s="259"/>
      <c r="G38" s="259"/>
      <c r="H38" s="259"/>
      <c r="I38" s="259"/>
      <c r="J38" s="259"/>
      <c r="K38" s="259"/>
      <c r="L38" s="259"/>
    </row>
    <row r="39" spans="1:12" ht="21.75" x14ac:dyDescent="0.35">
      <c r="A39" s="4"/>
      <c r="B39" s="6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spans="1:12" ht="21.75" x14ac:dyDescent="0.35">
      <c r="A40" s="4"/>
      <c r="B40" s="5" t="s">
        <v>43</v>
      </c>
      <c r="C40" s="258" t="s">
        <v>44</v>
      </c>
      <c r="D40" s="259"/>
      <c r="E40" s="259"/>
      <c r="F40" s="259"/>
      <c r="G40" s="259"/>
      <c r="H40" s="259"/>
      <c r="I40" s="259"/>
      <c r="J40" s="259"/>
      <c r="K40" s="259"/>
      <c r="L40" s="259"/>
    </row>
    <row r="41" spans="1:12" ht="21.75" x14ac:dyDescent="0.35">
      <c r="A41" s="20"/>
      <c r="B41" s="21"/>
      <c r="C41" s="260" t="s">
        <v>45</v>
      </c>
      <c r="D41" s="259"/>
      <c r="E41" s="259"/>
      <c r="F41" s="259"/>
      <c r="G41" s="259"/>
      <c r="H41" s="259"/>
      <c r="I41" s="259"/>
      <c r="J41" s="259"/>
      <c r="K41" s="259"/>
      <c r="L41" s="259"/>
    </row>
    <row r="42" spans="1:12" ht="21.75" x14ac:dyDescent="0.5">
      <c r="A42" s="4"/>
      <c r="B42" s="22"/>
      <c r="C42" s="23" t="s">
        <v>46</v>
      </c>
      <c r="D42" s="11"/>
      <c r="E42" s="11"/>
      <c r="F42" s="11"/>
      <c r="G42" s="11"/>
      <c r="H42" s="11"/>
      <c r="I42" s="11"/>
      <c r="J42" s="11"/>
      <c r="K42" s="11"/>
      <c r="L42" s="11"/>
    </row>
    <row r="43" spans="1:12" ht="21.75" x14ac:dyDescent="0.5">
      <c r="A43" s="4"/>
      <c r="B43" s="24"/>
      <c r="C43" s="23" t="s">
        <v>47</v>
      </c>
      <c r="D43" s="11"/>
      <c r="E43" s="11"/>
      <c r="F43" s="11"/>
      <c r="G43" s="11"/>
      <c r="H43" s="11"/>
      <c r="I43" s="11"/>
      <c r="J43" s="11"/>
      <c r="K43" s="11"/>
      <c r="L43" s="11"/>
    </row>
    <row r="44" spans="1:12" ht="21.75" x14ac:dyDescent="0.5">
      <c r="A44" s="4"/>
      <c r="B44" s="25"/>
      <c r="C44" s="23" t="s">
        <v>48</v>
      </c>
      <c r="D44" s="11"/>
      <c r="E44" s="11"/>
      <c r="F44" s="11"/>
      <c r="G44" s="11"/>
      <c r="H44" s="11"/>
      <c r="I44" s="11"/>
      <c r="J44" s="11"/>
      <c r="K44" s="11"/>
      <c r="L44" s="11"/>
    </row>
    <row r="45" spans="1:12" ht="21.75" x14ac:dyDescent="0.35">
      <c r="A45" s="4"/>
      <c r="B45" s="6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ht="21.75" x14ac:dyDescent="0.35">
      <c r="A46" s="4"/>
      <c r="B46" s="5" t="s">
        <v>49</v>
      </c>
      <c r="C46" s="258" t="s">
        <v>50</v>
      </c>
      <c r="D46" s="259"/>
      <c r="E46" s="259"/>
      <c r="F46" s="259"/>
      <c r="G46" s="259"/>
      <c r="H46" s="259"/>
      <c r="I46" s="259"/>
      <c r="J46" s="259"/>
      <c r="K46" s="259"/>
      <c r="L46" s="259"/>
    </row>
    <row r="47" spans="1:12" ht="21.75" x14ac:dyDescent="0.35">
      <c r="A47" s="4"/>
      <c r="B47" s="6"/>
      <c r="C47" s="258" t="s">
        <v>51</v>
      </c>
      <c r="D47" s="259"/>
      <c r="E47" s="259"/>
      <c r="F47" s="259"/>
      <c r="G47" s="259"/>
      <c r="H47" s="259"/>
      <c r="I47" s="259"/>
      <c r="J47" s="259"/>
      <c r="K47" s="259"/>
      <c r="L47" s="259"/>
    </row>
    <row r="48" spans="1:12" ht="21.75" x14ac:dyDescent="0.35">
      <c r="A48" s="4"/>
      <c r="B48" s="6"/>
      <c r="C48" s="258" t="s">
        <v>52</v>
      </c>
      <c r="D48" s="259"/>
      <c r="E48" s="259"/>
      <c r="F48" s="259"/>
      <c r="G48" s="259"/>
      <c r="H48" s="259"/>
      <c r="I48" s="259"/>
      <c r="J48" s="259"/>
      <c r="K48" s="259"/>
      <c r="L48" s="259"/>
    </row>
    <row r="49" spans="1:12" ht="21.75" x14ac:dyDescent="0.35">
      <c r="A49" s="4"/>
      <c r="B49" s="6"/>
      <c r="C49" s="258" t="s">
        <v>53</v>
      </c>
      <c r="D49" s="259"/>
      <c r="E49" s="259"/>
      <c r="F49" s="259"/>
      <c r="G49" s="259"/>
      <c r="H49" s="259"/>
      <c r="I49" s="259"/>
      <c r="J49" s="259"/>
      <c r="K49" s="259"/>
      <c r="L49" s="259"/>
    </row>
    <row r="50" spans="1:12" ht="15" x14ac:dyDescent="0.35">
      <c r="B50" s="26"/>
    </row>
    <row r="51" spans="1:12" ht="15" x14ac:dyDescent="0.35">
      <c r="B51" s="26"/>
    </row>
    <row r="52" spans="1:12" ht="15" x14ac:dyDescent="0.35">
      <c r="B52" s="26"/>
    </row>
    <row r="53" spans="1:12" ht="15" x14ac:dyDescent="0.35">
      <c r="B53" s="26"/>
    </row>
    <row r="54" spans="1:12" ht="15" x14ac:dyDescent="0.35">
      <c r="B54" s="26"/>
    </row>
    <row r="55" spans="1:12" ht="15" x14ac:dyDescent="0.35">
      <c r="B55" s="26"/>
    </row>
    <row r="56" spans="1:12" ht="15" x14ac:dyDescent="0.35">
      <c r="B56" s="26"/>
    </row>
    <row r="57" spans="1:12" ht="15" x14ac:dyDescent="0.35">
      <c r="B57" s="26"/>
    </row>
    <row r="58" spans="1:12" ht="15" x14ac:dyDescent="0.35">
      <c r="B58" s="26"/>
    </row>
    <row r="59" spans="1:12" ht="15" x14ac:dyDescent="0.35">
      <c r="B59" s="26"/>
    </row>
    <row r="60" spans="1:12" ht="15" x14ac:dyDescent="0.35">
      <c r="B60" s="26"/>
    </row>
    <row r="61" spans="1:12" ht="15" x14ac:dyDescent="0.35">
      <c r="B61" s="26"/>
    </row>
    <row r="62" spans="1:12" ht="15" x14ac:dyDescent="0.35">
      <c r="B62" s="26"/>
    </row>
    <row r="63" spans="1:12" ht="15" x14ac:dyDescent="0.35">
      <c r="B63" s="26"/>
    </row>
    <row r="64" spans="1:12" ht="15" x14ac:dyDescent="0.35">
      <c r="B64" s="26"/>
    </row>
    <row r="65" spans="2:2" ht="15" x14ac:dyDescent="0.35">
      <c r="B65" s="26"/>
    </row>
    <row r="66" spans="2:2" ht="15" x14ac:dyDescent="0.35">
      <c r="B66" s="26"/>
    </row>
    <row r="67" spans="2:2" ht="15" x14ac:dyDescent="0.35">
      <c r="B67" s="26"/>
    </row>
    <row r="68" spans="2:2" ht="15" x14ac:dyDescent="0.35">
      <c r="B68" s="26"/>
    </row>
    <row r="69" spans="2:2" ht="15" x14ac:dyDescent="0.35">
      <c r="B69" s="26"/>
    </row>
    <row r="70" spans="2:2" ht="15" x14ac:dyDescent="0.35">
      <c r="B70" s="26"/>
    </row>
    <row r="71" spans="2:2" ht="15" x14ac:dyDescent="0.35">
      <c r="B71" s="26"/>
    </row>
    <row r="72" spans="2:2" ht="15" x14ac:dyDescent="0.35">
      <c r="B72" s="26"/>
    </row>
    <row r="73" spans="2:2" ht="15" x14ac:dyDescent="0.35">
      <c r="B73" s="26"/>
    </row>
    <row r="74" spans="2:2" ht="15" x14ac:dyDescent="0.35">
      <c r="B74" s="26"/>
    </row>
    <row r="75" spans="2:2" ht="15" x14ac:dyDescent="0.35">
      <c r="B75" s="26"/>
    </row>
    <row r="76" spans="2:2" ht="15" x14ac:dyDescent="0.35">
      <c r="B76" s="26"/>
    </row>
    <row r="77" spans="2:2" ht="15" x14ac:dyDescent="0.35">
      <c r="B77" s="26"/>
    </row>
    <row r="78" spans="2:2" ht="15" x14ac:dyDescent="0.35">
      <c r="B78" s="26"/>
    </row>
    <row r="79" spans="2:2" ht="15" x14ac:dyDescent="0.35">
      <c r="B79" s="26"/>
    </row>
    <row r="80" spans="2:2" ht="15" x14ac:dyDescent="0.35">
      <c r="B80" s="26"/>
    </row>
    <row r="81" spans="2:2" ht="15" x14ac:dyDescent="0.35">
      <c r="B81" s="26"/>
    </row>
    <row r="82" spans="2:2" ht="15" x14ac:dyDescent="0.35">
      <c r="B82" s="26"/>
    </row>
    <row r="83" spans="2:2" ht="15" x14ac:dyDescent="0.35">
      <c r="B83" s="26"/>
    </row>
    <row r="84" spans="2:2" ht="15" x14ac:dyDescent="0.35">
      <c r="B84" s="26"/>
    </row>
    <row r="85" spans="2:2" ht="15" x14ac:dyDescent="0.35">
      <c r="B85" s="26"/>
    </row>
    <row r="86" spans="2:2" ht="15" x14ac:dyDescent="0.35">
      <c r="B86" s="26"/>
    </row>
    <row r="87" spans="2:2" ht="15" x14ac:dyDescent="0.35">
      <c r="B87" s="26"/>
    </row>
    <row r="88" spans="2:2" ht="15" x14ac:dyDescent="0.35">
      <c r="B88" s="26"/>
    </row>
    <row r="89" spans="2:2" ht="15" x14ac:dyDescent="0.35">
      <c r="B89" s="26"/>
    </row>
    <row r="90" spans="2:2" ht="15" x14ac:dyDescent="0.35">
      <c r="B90" s="26"/>
    </row>
    <row r="91" spans="2:2" ht="15" x14ac:dyDescent="0.35">
      <c r="B91" s="26"/>
    </row>
    <row r="92" spans="2:2" ht="15" x14ac:dyDescent="0.35">
      <c r="B92" s="26"/>
    </row>
    <row r="93" spans="2:2" ht="15" x14ac:dyDescent="0.35">
      <c r="B93" s="26"/>
    </row>
    <row r="94" spans="2:2" ht="15" x14ac:dyDescent="0.35">
      <c r="B94" s="26"/>
    </row>
    <row r="95" spans="2:2" ht="15" x14ac:dyDescent="0.35">
      <c r="B95" s="26"/>
    </row>
    <row r="96" spans="2:2" ht="15" x14ac:dyDescent="0.35">
      <c r="B96" s="26"/>
    </row>
    <row r="97" spans="2:2" ht="15" x14ac:dyDescent="0.35">
      <c r="B97" s="26"/>
    </row>
    <row r="98" spans="2:2" ht="15" x14ac:dyDescent="0.35">
      <c r="B98" s="26"/>
    </row>
    <row r="99" spans="2:2" ht="15" x14ac:dyDescent="0.35">
      <c r="B99" s="26"/>
    </row>
    <row r="100" spans="2:2" ht="15" x14ac:dyDescent="0.35">
      <c r="B100" s="26"/>
    </row>
    <row r="101" spans="2:2" ht="15" x14ac:dyDescent="0.35">
      <c r="B101" s="26"/>
    </row>
    <row r="102" spans="2:2" ht="15" x14ac:dyDescent="0.35">
      <c r="B102" s="26"/>
    </row>
    <row r="103" spans="2:2" ht="15" x14ac:dyDescent="0.35">
      <c r="B103" s="26"/>
    </row>
    <row r="104" spans="2:2" ht="15" x14ac:dyDescent="0.35">
      <c r="B104" s="26"/>
    </row>
    <row r="105" spans="2:2" ht="15" x14ac:dyDescent="0.35">
      <c r="B105" s="26"/>
    </row>
    <row r="106" spans="2:2" ht="15" x14ac:dyDescent="0.35">
      <c r="B106" s="26"/>
    </row>
    <row r="107" spans="2:2" ht="15" x14ac:dyDescent="0.35">
      <c r="B107" s="26"/>
    </row>
    <row r="108" spans="2:2" ht="15" x14ac:dyDescent="0.35">
      <c r="B108" s="26"/>
    </row>
    <row r="109" spans="2:2" ht="15" x14ac:dyDescent="0.35">
      <c r="B109" s="26"/>
    </row>
    <row r="110" spans="2:2" ht="15" x14ac:dyDescent="0.35">
      <c r="B110" s="26"/>
    </row>
    <row r="111" spans="2:2" ht="15" x14ac:dyDescent="0.35">
      <c r="B111" s="26"/>
    </row>
    <row r="112" spans="2:2" ht="15" x14ac:dyDescent="0.35">
      <c r="B112" s="26"/>
    </row>
    <row r="113" spans="2:2" ht="15" x14ac:dyDescent="0.35">
      <c r="B113" s="26"/>
    </row>
    <row r="114" spans="2:2" ht="15" x14ac:dyDescent="0.35">
      <c r="B114" s="26"/>
    </row>
    <row r="115" spans="2:2" ht="15" x14ac:dyDescent="0.35">
      <c r="B115" s="26"/>
    </row>
    <row r="116" spans="2:2" ht="15" x14ac:dyDescent="0.35">
      <c r="B116" s="26"/>
    </row>
    <row r="117" spans="2:2" ht="15" x14ac:dyDescent="0.35">
      <c r="B117" s="26"/>
    </row>
    <row r="118" spans="2:2" ht="15" x14ac:dyDescent="0.35">
      <c r="B118" s="26"/>
    </row>
    <row r="119" spans="2:2" ht="15" x14ac:dyDescent="0.35">
      <c r="B119" s="26"/>
    </row>
    <row r="120" spans="2:2" ht="15" x14ac:dyDescent="0.35">
      <c r="B120" s="26"/>
    </row>
    <row r="121" spans="2:2" ht="15" x14ac:dyDescent="0.35">
      <c r="B121" s="26"/>
    </row>
    <row r="122" spans="2:2" ht="15" x14ac:dyDescent="0.35">
      <c r="B122" s="26"/>
    </row>
    <row r="123" spans="2:2" ht="15" x14ac:dyDescent="0.35">
      <c r="B123" s="26"/>
    </row>
    <row r="124" spans="2:2" ht="15" x14ac:dyDescent="0.35">
      <c r="B124" s="26"/>
    </row>
    <row r="125" spans="2:2" ht="15" x14ac:dyDescent="0.35">
      <c r="B125" s="26"/>
    </row>
    <row r="126" spans="2:2" ht="15" x14ac:dyDescent="0.35">
      <c r="B126" s="26"/>
    </row>
    <row r="127" spans="2:2" ht="15" x14ac:dyDescent="0.35">
      <c r="B127" s="26"/>
    </row>
    <row r="128" spans="2:2" ht="15" x14ac:dyDescent="0.35">
      <c r="B128" s="26"/>
    </row>
    <row r="129" spans="2:2" ht="15" x14ac:dyDescent="0.35">
      <c r="B129" s="26"/>
    </row>
    <row r="130" spans="2:2" ht="15" x14ac:dyDescent="0.35">
      <c r="B130" s="26"/>
    </row>
    <row r="131" spans="2:2" ht="15" x14ac:dyDescent="0.35">
      <c r="B131" s="26"/>
    </row>
    <row r="132" spans="2:2" ht="15" x14ac:dyDescent="0.35">
      <c r="B132" s="26"/>
    </row>
    <row r="133" spans="2:2" ht="15" x14ac:dyDescent="0.35">
      <c r="B133" s="26"/>
    </row>
    <row r="134" spans="2:2" ht="15" x14ac:dyDescent="0.35">
      <c r="B134" s="26"/>
    </row>
    <row r="135" spans="2:2" ht="15" x14ac:dyDescent="0.35">
      <c r="B135" s="26"/>
    </row>
    <row r="136" spans="2:2" ht="15" x14ac:dyDescent="0.35">
      <c r="B136" s="26"/>
    </row>
    <row r="137" spans="2:2" ht="15" x14ac:dyDescent="0.35">
      <c r="B137" s="26"/>
    </row>
    <row r="138" spans="2:2" ht="15" x14ac:dyDescent="0.35">
      <c r="B138" s="26"/>
    </row>
    <row r="139" spans="2:2" ht="15" x14ac:dyDescent="0.35">
      <c r="B139" s="26"/>
    </row>
    <row r="140" spans="2:2" ht="15" x14ac:dyDescent="0.35">
      <c r="B140" s="26"/>
    </row>
    <row r="141" spans="2:2" ht="15" x14ac:dyDescent="0.35">
      <c r="B141" s="26"/>
    </row>
    <row r="142" spans="2:2" ht="15" x14ac:dyDescent="0.35">
      <c r="B142" s="26"/>
    </row>
    <row r="143" spans="2:2" ht="15" x14ac:dyDescent="0.35">
      <c r="B143" s="26"/>
    </row>
    <row r="144" spans="2:2" ht="15" x14ac:dyDescent="0.35">
      <c r="B144" s="26"/>
    </row>
    <row r="145" spans="2:2" ht="15" x14ac:dyDescent="0.35">
      <c r="B145" s="26"/>
    </row>
    <row r="146" spans="2:2" ht="15" x14ac:dyDescent="0.35">
      <c r="B146" s="26"/>
    </row>
    <row r="147" spans="2:2" ht="15" x14ac:dyDescent="0.35">
      <c r="B147" s="26"/>
    </row>
    <row r="148" spans="2:2" ht="15" x14ac:dyDescent="0.35">
      <c r="B148" s="26"/>
    </row>
    <row r="149" spans="2:2" ht="15" x14ac:dyDescent="0.35">
      <c r="B149" s="26"/>
    </row>
    <row r="150" spans="2:2" ht="15" x14ac:dyDescent="0.35">
      <c r="B150" s="26"/>
    </row>
    <row r="151" spans="2:2" ht="15" x14ac:dyDescent="0.35">
      <c r="B151" s="26"/>
    </row>
    <row r="152" spans="2:2" ht="15" x14ac:dyDescent="0.35">
      <c r="B152" s="26"/>
    </row>
    <row r="153" spans="2:2" ht="15" x14ac:dyDescent="0.35">
      <c r="B153" s="26"/>
    </row>
    <row r="154" spans="2:2" ht="15" x14ac:dyDescent="0.35">
      <c r="B154" s="26"/>
    </row>
    <row r="155" spans="2:2" ht="15" x14ac:dyDescent="0.35">
      <c r="B155" s="26"/>
    </row>
    <row r="156" spans="2:2" ht="15" x14ac:dyDescent="0.35">
      <c r="B156" s="26"/>
    </row>
    <row r="157" spans="2:2" ht="15" x14ac:dyDescent="0.35">
      <c r="B157" s="26"/>
    </row>
    <row r="158" spans="2:2" ht="15" x14ac:dyDescent="0.35">
      <c r="B158" s="26"/>
    </row>
    <row r="159" spans="2:2" ht="15" x14ac:dyDescent="0.35">
      <c r="B159" s="26"/>
    </row>
    <row r="160" spans="2:2" ht="15" x14ac:dyDescent="0.35">
      <c r="B160" s="26"/>
    </row>
    <row r="161" spans="2:2" ht="15" x14ac:dyDescent="0.35">
      <c r="B161" s="26"/>
    </row>
    <row r="162" spans="2:2" ht="15" x14ac:dyDescent="0.35">
      <c r="B162" s="26"/>
    </row>
    <row r="163" spans="2:2" ht="15" x14ac:dyDescent="0.35">
      <c r="B163" s="26"/>
    </row>
    <row r="164" spans="2:2" ht="15" x14ac:dyDescent="0.35">
      <c r="B164" s="26"/>
    </row>
    <row r="165" spans="2:2" ht="15" x14ac:dyDescent="0.35">
      <c r="B165" s="26"/>
    </row>
    <row r="166" spans="2:2" ht="15" x14ac:dyDescent="0.35">
      <c r="B166" s="26"/>
    </row>
    <row r="167" spans="2:2" ht="15" x14ac:dyDescent="0.35">
      <c r="B167" s="26"/>
    </row>
    <row r="168" spans="2:2" ht="15" x14ac:dyDescent="0.35">
      <c r="B168" s="26"/>
    </row>
    <row r="169" spans="2:2" ht="15" x14ac:dyDescent="0.35">
      <c r="B169" s="26"/>
    </row>
    <row r="170" spans="2:2" ht="15" x14ac:dyDescent="0.35">
      <c r="B170" s="26"/>
    </row>
    <row r="171" spans="2:2" ht="15" x14ac:dyDescent="0.35">
      <c r="B171" s="26"/>
    </row>
    <row r="172" spans="2:2" ht="15" x14ac:dyDescent="0.35">
      <c r="B172" s="26"/>
    </row>
    <row r="173" spans="2:2" ht="15" x14ac:dyDescent="0.35">
      <c r="B173" s="26"/>
    </row>
    <row r="174" spans="2:2" ht="15" x14ac:dyDescent="0.35">
      <c r="B174" s="26"/>
    </row>
    <row r="175" spans="2:2" ht="15" x14ac:dyDescent="0.35">
      <c r="B175" s="26"/>
    </row>
    <row r="176" spans="2:2" ht="15" x14ac:dyDescent="0.35">
      <c r="B176" s="26"/>
    </row>
    <row r="177" spans="2:2" ht="15" x14ac:dyDescent="0.35">
      <c r="B177" s="26"/>
    </row>
    <row r="178" spans="2:2" ht="15" x14ac:dyDescent="0.35">
      <c r="B178" s="26"/>
    </row>
    <row r="179" spans="2:2" ht="15" x14ac:dyDescent="0.35">
      <c r="B179" s="26"/>
    </row>
    <row r="180" spans="2:2" ht="15" x14ac:dyDescent="0.35">
      <c r="B180" s="26"/>
    </row>
    <row r="181" spans="2:2" ht="15" x14ac:dyDescent="0.35">
      <c r="B181" s="26"/>
    </row>
    <row r="182" spans="2:2" ht="15" x14ac:dyDescent="0.35">
      <c r="B182" s="26"/>
    </row>
    <row r="183" spans="2:2" ht="15" x14ac:dyDescent="0.35">
      <c r="B183" s="26"/>
    </row>
    <row r="184" spans="2:2" ht="15" x14ac:dyDescent="0.35">
      <c r="B184" s="26"/>
    </row>
    <row r="185" spans="2:2" ht="15" x14ac:dyDescent="0.35">
      <c r="B185" s="26"/>
    </row>
    <row r="186" spans="2:2" ht="15" x14ac:dyDescent="0.35">
      <c r="B186" s="26"/>
    </row>
    <row r="187" spans="2:2" ht="15" x14ac:dyDescent="0.35">
      <c r="B187" s="26"/>
    </row>
    <row r="188" spans="2:2" ht="15" x14ac:dyDescent="0.35">
      <c r="B188" s="26"/>
    </row>
    <row r="189" spans="2:2" ht="15" x14ac:dyDescent="0.35">
      <c r="B189" s="26"/>
    </row>
    <row r="190" spans="2:2" ht="15" x14ac:dyDescent="0.35">
      <c r="B190" s="26"/>
    </row>
    <row r="191" spans="2:2" ht="15" x14ac:dyDescent="0.35">
      <c r="B191" s="26"/>
    </row>
    <row r="192" spans="2:2" ht="15" x14ac:dyDescent="0.35">
      <c r="B192" s="26"/>
    </row>
    <row r="193" spans="2:2" ht="15" x14ac:dyDescent="0.35">
      <c r="B193" s="26"/>
    </row>
    <row r="194" spans="2:2" ht="15" x14ac:dyDescent="0.35">
      <c r="B194" s="26"/>
    </row>
    <row r="195" spans="2:2" ht="15" x14ac:dyDescent="0.35">
      <c r="B195" s="26"/>
    </row>
    <row r="196" spans="2:2" ht="15" x14ac:dyDescent="0.35">
      <c r="B196" s="26"/>
    </row>
    <row r="197" spans="2:2" ht="15" x14ac:dyDescent="0.35">
      <c r="B197" s="26"/>
    </row>
    <row r="198" spans="2:2" ht="15" x14ac:dyDescent="0.35">
      <c r="B198" s="26"/>
    </row>
    <row r="199" spans="2:2" ht="15" x14ac:dyDescent="0.35">
      <c r="B199" s="26"/>
    </row>
    <row r="200" spans="2:2" ht="15" x14ac:dyDescent="0.35">
      <c r="B200" s="26"/>
    </row>
    <row r="201" spans="2:2" ht="15" x14ac:dyDescent="0.35">
      <c r="B201" s="26"/>
    </row>
    <row r="202" spans="2:2" ht="15" x14ac:dyDescent="0.35">
      <c r="B202" s="26"/>
    </row>
    <row r="203" spans="2:2" ht="15" x14ac:dyDescent="0.35">
      <c r="B203" s="26"/>
    </row>
    <row r="204" spans="2:2" ht="15" x14ac:dyDescent="0.35">
      <c r="B204" s="26"/>
    </row>
    <row r="205" spans="2:2" ht="15" x14ac:dyDescent="0.35">
      <c r="B205" s="26"/>
    </row>
    <row r="206" spans="2:2" ht="15" x14ac:dyDescent="0.35">
      <c r="B206" s="26"/>
    </row>
    <row r="207" spans="2:2" ht="15" x14ac:dyDescent="0.35">
      <c r="B207" s="26"/>
    </row>
    <row r="208" spans="2:2" ht="15" x14ac:dyDescent="0.35">
      <c r="B208" s="26"/>
    </row>
    <row r="209" spans="2:2" ht="15" x14ac:dyDescent="0.35">
      <c r="B209" s="26"/>
    </row>
    <row r="210" spans="2:2" ht="15" x14ac:dyDescent="0.35">
      <c r="B210" s="26"/>
    </row>
    <row r="211" spans="2:2" ht="15" x14ac:dyDescent="0.35">
      <c r="B211" s="26"/>
    </row>
    <row r="212" spans="2:2" ht="15" x14ac:dyDescent="0.35">
      <c r="B212" s="26"/>
    </row>
    <row r="213" spans="2:2" ht="15" x14ac:dyDescent="0.35">
      <c r="B213" s="26"/>
    </row>
    <row r="214" spans="2:2" ht="15" x14ac:dyDescent="0.35">
      <c r="B214" s="26"/>
    </row>
    <row r="215" spans="2:2" ht="15" x14ac:dyDescent="0.35">
      <c r="B215" s="26"/>
    </row>
    <row r="216" spans="2:2" ht="15" x14ac:dyDescent="0.35">
      <c r="B216" s="26"/>
    </row>
    <row r="217" spans="2:2" ht="15" x14ac:dyDescent="0.35">
      <c r="B217" s="26"/>
    </row>
    <row r="218" spans="2:2" ht="15" x14ac:dyDescent="0.35">
      <c r="B218" s="26"/>
    </row>
    <row r="219" spans="2:2" ht="15" x14ac:dyDescent="0.35">
      <c r="B219" s="26"/>
    </row>
    <row r="220" spans="2:2" ht="15" x14ac:dyDescent="0.35">
      <c r="B220" s="26"/>
    </row>
    <row r="221" spans="2:2" ht="15" x14ac:dyDescent="0.35">
      <c r="B221" s="26"/>
    </row>
    <row r="222" spans="2:2" ht="15" x14ac:dyDescent="0.35">
      <c r="B222" s="26"/>
    </row>
    <row r="223" spans="2:2" ht="15" x14ac:dyDescent="0.35">
      <c r="B223" s="26"/>
    </row>
    <row r="224" spans="2:2" ht="15" x14ac:dyDescent="0.35">
      <c r="B224" s="26"/>
    </row>
    <row r="225" spans="2:2" ht="15" x14ac:dyDescent="0.35">
      <c r="B225" s="26"/>
    </row>
    <row r="226" spans="2:2" ht="15" x14ac:dyDescent="0.35">
      <c r="B226" s="26"/>
    </row>
    <row r="227" spans="2:2" ht="15" x14ac:dyDescent="0.35">
      <c r="B227" s="26"/>
    </row>
    <row r="228" spans="2:2" ht="15" x14ac:dyDescent="0.35">
      <c r="B228" s="26"/>
    </row>
    <row r="229" spans="2:2" ht="15" x14ac:dyDescent="0.35">
      <c r="B229" s="26"/>
    </row>
    <row r="230" spans="2:2" ht="15" x14ac:dyDescent="0.35">
      <c r="B230" s="26"/>
    </row>
    <row r="231" spans="2:2" ht="15" x14ac:dyDescent="0.35">
      <c r="B231" s="26"/>
    </row>
    <row r="232" spans="2:2" ht="15" x14ac:dyDescent="0.35">
      <c r="B232" s="26"/>
    </row>
    <row r="233" spans="2:2" ht="15" x14ac:dyDescent="0.35">
      <c r="B233" s="26"/>
    </row>
    <row r="234" spans="2:2" ht="15" x14ac:dyDescent="0.35">
      <c r="B234" s="26"/>
    </row>
    <row r="235" spans="2:2" ht="15" x14ac:dyDescent="0.35">
      <c r="B235" s="26"/>
    </row>
    <row r="236" spans="2:2" ht="15" x14ac:dyDescent="0.35">
      <c r="B236" s="26"/>
    </row>
    <row r="237" spans="2:2" ht="15" x14ac:dyDescent="0.35">
      <c r="B237" s="26"/>
    </row>
    <row r="238" spans="2:2" ht="15" x14ac:dyDescent="0.35">
      <c r="B238" s="26"/>
    </row>
    <row r="239" spans="2:2" ht="15" x14ac:dyDescent="0.35">
      <c r="B239" s="26"/>
    </row>
    <row r="240" spans="2:2" ht="15" x14ac:dyDescent="0.35">
      <c r="B240" s="26"/>
    </row>
    <row r="241" spans="2:2" ht="15" x14ac:dyDescent="0.35">
      <c r="B241" s="26"/>
    </row>
    <row r="242" spans="2:2" ht="15" x14ac:dyDescent="0.35">
      <c r="B242" s="26"/>
    </row>
    <row r="243" spans="2:2" ht="15" x14ac:dyDescent="0.35">
      <c r="B243" s="26"/>
    </row>
    <row r="244" spans="2:2" ht="15" x14ac:dyDescent="0.35">
      <c r="B244" s="26"/>
    </row>
    <row r="245" spans="2:2" ht="15" x14ac:dyDescent="0.35">
      <c r="B245" s="26"/>
    </row>
    <row r="246" spans="2:2" ht="15" x14ac:dyDescent="0.35">
      <c r="B246" s="26"/>
    </row>
    <row r="247" spans="2:2" ht="15" x14ac:dyDescent="0.35">
      <c r="B247" s="26"/>
    </row>
    <row r="248" spans="2:2" ht="15" x14ac:dyDescent="0.35">
      <c r="B248" s="26"/>
    </row>
    <row r="249" spans="2:2" ht="15" x14ac:dyDescent="0.35">
      <c r="B249" s="26"/>
    </row>
    <row r="250" spans="2:2" ht="15" x14ac:dyDescent="0.35">
      <c r="B250" s="26"/>
    </row>
    <row r="251" spans="2:2" ht="15" x14ac:dyDescent="0.35">
      <c r="B251" s="26"/>
    </row>
    <row r="252" spans="2:2" ht="15" x14ac:dyDescent="0.35">
      <c r="B252" s="26"/>
    </row>
    <row r="253" spans="2:2" ht="15" x14ac:dyDescent="0.35">
      <c r="B253" s="26"/>
    </row>
    <row r="254" spans="2:2" ht="15" x14ac:dyDescent="0.35">
      <c r="B254" s="26"/>
    </row>
    <row r="255" spans="2:2" ht="15" x14ac:dyDescent="0.35">
      <c r="B255" s="26"/>
    </row>
    <row r="256" spans="2:2" ht="15" x14ac:dyDescent="0.35">
      <c r="B256" s="26"/>
    </row>
    <row r="257" spans="2:2" ht="15" x14ac:dyDescent="0.35">
      <c r="B257" s="26"/>
    </row>
    <row r="258" spans="2:2" ht="15" x14ac:dyDescent="0.35">
      <c r="B258" s="26"/>
    </row>
    <row r="259" spans="2:2" ht="15" x14ac:dyDescent="0.35">
      <c r="B259" s="26"/>
    </row>
    <row r="260" spans="2:2" ht="15" x14ac:dyDescent="0.35">
      <c r="B260" s="26"/>
    </row>
    <row r="261" spans="2:2" ht="15" x14ac:dyDescent="0.35">
      <c r="B261" s="26"/>
    </row>
    <row r="262" spans="2:2" ht="15" x14ac:dyDescent="0.35">
      <c r="B262" s="26"/>
    </row>
    <row r="263" spans="2:2" ht="15" x14ac:dyDescent="0.35">
      <c r="B263" s="26"/>
    </row>
    <row r="264" spans="2:2" ht="15" x14ac:dyDescent="0.35">
      <c r="B264" s="26"/>
    </row>
    <row r="265" spans="2:2" ht="15" x14ac:dyDescent="0.35">
      <c r="B265" s="26"/>
    </row>
    <row r="266" spans="2:2" ht="15" x14ac:dyDescent="0.35">
      <c r="B266" s="26"/>
    </row>
    <row r="267" spans="2:2" ht="15" x14ac:dyDescent="0.35">
      <c r="B267" s="26"/>
    </row>
    <row r="268" spans="2:2" ht="15" x14ac:dyDescent="0.35">
      <c r="B268" s="26"/>
    </row>
    <row r="269" spans="2:2" ht="15" x14ac:dyDescent="0.35">
      <c r="B269" s="26"/>
    </row>
    <row r="270" spans="2:2" ht="15" x14ac:dyDescent="0.35">
      <c r="B270" s="26"/>
    </row>
    <row r="271" spans="2:2" ht="15" x14ac:dyDescent="0.35">
      <c r="B271" s="26"/>
    </row>
    <row r="272" spans="2:2" ht="15" x14ac:dyDescent="0.35">
      <c r="B272" s="26"/>
    </row>
    <row r="273" spans="2:2" ht="15" x14ac:dyDescent="0.35">
      <c r="B273" s="26"/>
    </row>
    <row r="274" spans="2:2" ht="15" x14ac:dyDescent="0.35">
      <c r="B274" s="26"/>
    </row>
    <row r="275" spans="2:2" ht="15" x14ac:dyDescent="0.35">
      <c r="B275" s="26"/>
    </row>
    <row r="276" spans="2:2" ht="15" x14ac:dyDescent="0.35">
      <c r="B276" s="26"/>
    </row>
    <row r="277" spans="2:2" ht="15" x14ac:dyDescent="0.35">
      <c r="B277" s="26"/>
    </row>
    <row r="278" spans="2:2" ht="15" x14ac:dyDescent="0.35">
      <c r="B278" s="26"/>
    </row>
    <row r="279" spans="2:2" ht="15" x14ac:dyDescent="0.35">
      <c r="B279" s="26"/>
    </row>
    <row r="280" spans="2:2" ht="15" x14ac:dyDescent="0.35">
      <c r="B280" s="26"/>
    </row>
    <row r="281" spans="2:2" ht="15" x14ac:dyDescent="0.35">
      <c r="B281" s="26"/>
    </row>
    <row r="282" spans="2:2" ht="15" x14ac:dyDescent="0.35">
      <c r="B282" s="26"/>
    </row>
    <row r="283" spans="2:2" ht="15" x14ac:dyDescent="0.35">
      <c r="B283" s="26"/>
    </row>
    <row r="284" spans="2:2" ht="15" x14ac:dyDescent="0.35">
      <c r="B284" s="26"/>
    </row>
    <row r="285" spans="2:2" ht="15" x14ac:dyDescent="0.35">
      <c r="B285" s="26"/>
    </row>
    <row r="286" spans="2:2" ht="15" x14ac:dyDescent="0.35">
      <c r="B286" s="26"/>
    </row>
    <row r="287" spans="2:2" ht="15" x14ac:dyDescent="0.35">
      <c r="B287" s="26"/>
    </row>
    <row r="288" spans="2:2" ht="15" x14ac:dyDescent="0.35">
      <c r="B288" s="26"/>
    </row>
    <row r="289" spans="2:2" ht="15" x14ac:dyDescent="0.35">
      <c r="B289" s="26"/>
    </row>
    <row r="290" spans="2:2" ht="15" x14ac:dyDescent="0.35">
      <c r="B290" s="26"/>
    </row>
    <row r="291" spans="2:2" ht="15" x14ac:dyDescent="0.35">
      <c r="B291" s="26"/>
    </row>
    <row r="292" spans="2:2" ht="15" x14ac:dyDescent="0.35">
      <c r="B292" s="26"/>
    </row>
    <row r="293" spans="2:2" ht="15" x14ac:dyDescent="0.35">
      <c r="B293" s="26"/>
    </row>
    <row r="294" spans="2:2" ht="15" x14ac:dyDescent="0.35">
      <c r="B294" s="26"/>
    </row>
    <row r="295" spans="2:2" ht="15" x14ac:dyDescent="0.35">
      <c r="B295" s="26"/>
    </row>
    <row r="296" spans="2:2" ht="15" x14ac:dyDescent="0.35">
      <c r="B296" s="26"/>
    </row>
    <row r="297" spans="2:2" ht="15" x14ac:dyDescent="0.35">
      <c r="B297" s="26"/>
    </row>
    <row r="298" spans="2:2" ht="15" x14ac:dyDescent="0.35">
      <c r="B298" s="26"/>
    </row>
    <row r="299" spans="2:2" ht="15" x14ac:dyDescent="0.35">
      <c r="B299" s="26"/>
    </row>
    <row r="300" spans="2:2" ht="15" x14ac:dyDescent="0.35">
      <c r="B300" s="26"/>
    </row>
    <row r="301" spans="2:2" ht="15" x14ac:dyDescent="0.35">
      <c r="B301" s="26"/>
    </row>
    <row r="302" spans="2:2" ht="15" x14ac:dyDescent="0.35">
      <c r="B302" s="26"/>
    </row>
    <row r="303" spans="2:2" ht="15" x14ac:dyDescent="0.35">
      <c r="B303" s="26"/>
    </row>
    <row r="304" spans="2:2" ht="15" x14ac:dyDescent="0.35">
      <c r="B304" s="26"/>
    </row>
    <row r="305" spans="2:2" ht="15" x14ac:dyDescent="0.35">
      <c r="B305" s="26"/>
    </row>
    <row r="306" spans="2:2" ht="15" x14ac:dyDescent="0.35">
      <c r="B306" s="26"/>
    </row>
    <row r="307" spans="2:2" ht="15" x14ac:dyDescent="0.35">
      <c r="B307" s="26"/>
    </row>
    <row r="308" spans="2:2" ht="15" x14ac:dyDescent="0.35">
      <c r="B308" s="26"/>
    </row>
    <row r="309" spans="2:2" ht="15" x14ac:dyDescent="0.35">
      <c r="B309" s="26"/>
    </row>
    <row r="310" spans="2:2" ht="15" x14ac:dyDescent="0.35">
      <c r="B310" s="26"/>
    </row>
    <row r="311" spans="2:2" ht="15" x14ac:dyDescent="0.35">
      <c r="B311" s="26"/>
    </row>
    <row r="312" spans="2:2" ht="15" x14ac:dyDescent="0.35">
      <c r="B312" s="26"/>
    </row>
    <row r="313" spans="2:2" ht="15" x14ac:dyDescent="0.35">
      <c r="B313" s="26"/>
    </row>
    <row r="314" spans="2:2" ht="15" x14ac:dyDescent="0.35">
      <c r="B314" s="26"/>
    </row>
    <row r="315" spans="2:2" ht="15" x14ac:dyDescent="0.35">
      <c r="B315" s="26"/>
    </row>
    <row r="316" spans="2:2" ht="15" x14ac:dyDescent="0.35">
      <c r="B316" s="26"/>
    </row>
    <row r="317" spans="2:2" ht="15" x14ac:dyDescent="0.35">
      <c r="B317" s="26"/>
    </row>
    <row r="318" spans="2:2" ht="15" x14ac:dyDescent="0.35">
      <c r="B318" s="26"/>
    </row>
    <row r="319" spans="2:2" ht="15" x14ac:dyDescent="0.35">
      <c r="B319" s="26"/>
    </row>
    <row r="320" spans="2:2" ht="15" x14ac:dyDescent="0.35">
      <c r="B320" s="26"/>
    </row>
    <row r="321" spans="2:2" ht="15" x14ac:dyDescent="0.35">
      <c r="B321" s="26"/>
    </row>
    <row r="322" spans="2:2" ht="15" x14ac:dyDescent="0.35">
      <c r="B322" s="26"/>
    </row>
    <row r="323" spans="2:2" ht="15" x14ac:dyDescent="0.35">
      <c r="B323" s="26"/>
    </row>
    <row r="324" spans="2:2" ht="15" x14ac:dyDescent="0.35">
      <c r="B324" s="26"/>
    </row>
    <row r="325" spans="2:2" ht="15" x14ac:dyDescent="0.35">
      <c r="B325" s="26"/>
    </row>
    <row r="326" spans="2:2" ht="15" x14ac:dyDescent="0.35">
      <c r="B326" s="26"/>
    </row>
    <row r="327" spans="2:2" ht="15" x14ac:dyDescent="0.35">
      <c r="B327" s="26"/>
    </row>
    <row r="328" spans="2:2" ht="15" x14ac:dyDescent="0.35">
      <c r="B328" s="26"/>
    </row>
    <row r="329" spans="2:2" ht="15" x14ac:dyDescent="0.35">
      <c r="B329" s="26"/>
    </row>
    <row r="330" spans="2:2" ht="15" x14ac:dyDescent="0.35">
      <c r="B330" s="26"/>
    </row>
    <row r="331" spans="2:2" ht="15" x14ac:dyDescent="0.35">
      <c r="B331" s="26"/>
    </row>
    <row r="332" spans="2:2" ht="15" x14ac:dyDescent="0.35">
      <c r="B332" s="26"/>
    </row>
    <row r="333" spans="2:2" ht="15" x14ac:dyDescent="0.35">
      <c r="B333" s="26"/>
    </row>
    <row r="334" spans="2:2" ht="15" x14ac:dyDescent="0.35">
      <c r="B334" s="26"/>
    </row>
    <row r="335" spans="2:2" ht="15" x14ac:dyDescent="0.35">
      <c r="B335" s="26"/>
    </row>
    <row r="336" spans="2:2" ht="15" x14ac:dyDescent="0.35">
      <c r="B336" s="26"/>
    </row>
    <row r="337" spans="2:2" ht="15" x14ac:dyDescent="0.35">
      <c r="B337" s="26"/>
    </row>
    <row r="338" spans="2:2" ht="15" x14ac:dyDescent="0.35">
      <c r="B338" s="26"/>
    </row>
    <row r="339" spans="2:2" ht="15" x14ac:dyDescent="0.35">
      <c r="B339" s="26"/>
    </row>
    <row r="340" spans="2:2" ht="15" x14ac:dyDescent="0.35">
      <c r="B340" s="26"/>
    </row>
    <row r="341" spans="2:2" ht="15" x14ac:dyDescent="0.35">
      <c r="B341" s="26"/>
    </row>
    <row r="342" spans="2:2" ht="15" x14ac:dyDescent="0.35">
      <c r="B342" s="26"/>
    </row>
    <row r="343" spans="2:2" ht="15" x14ac:dyDescent="0.35">
      <c r="B343" s="26"/>
    </row>
    <row r="344" spans="2:2" ht="15" x14ac:dyDescent="0.35">
      <c r="B344" s="26"/>
    </row>
    <row r="345" spans="2:2" ht="15" x14ac:dyDescent="0.35">
      <c r="B345" s="26"/>
    </row>
    <row r="346" spans="2:2" ht="15" x14ac:dyDescent="0.35">
      <c r="B346" s="26"/>
    </row>
    <row r="347" spans="2:2" ht="15" x14ac:dyDescent="0.35">
      <c r="B347" s="26"/>
    </row>
    <row r="348" spans="2:2" ht="15" x14ac:dyDescent="0.35">
      <c r="B348" s="26"/>
    </row>
    <row r="349" spans="2:2" ht="15" x14ac:dyDescent="0.35">
      <c r="B349" s="26"/>
    </row>
    <row r="350" spans="2:2" ht="15" x14ac:dyDescent="0.35">
      <c r="B350" s="26"/>
    </row>
    <row r="351" spans="2:2" ht="15" x14ac:dyDescent="0.35">
      <c r="B351" s="26"/>
    </row>
    <row r="352" spans="2:2" ht="15" x14ac:dyDescent="0.35">
      <c r="B352" s="26"/>
    </row>
    <row r="353" spans="2:2" ht="15" x14ac:dyDescent="0.35">
      <c r="B353" s="26"/>
    </row>
    <row r="354" spans="2:2" ht="15" x14ac:dyDescent="0.35">
      <c r="B354" s="26"/>
    </row>
    <row r="355" spans="2:2" ht="15" x14ac:dyDescent="0.35">
      <c r="B355" s="26"/>
    </row>
    <row r="356" spans="2:2" ht="15" x14ac:dyDescent="0.35">
      <c r="B356" s="26"/>
    </row>
    <row r="357" spans="2:2" ht="15" x14ac:dyDescent="0.35">
      <c r="B357" s="26"/>
    </row>
    <row r="358" spans="2:2" ht="15" x14ac:dyDescent="0.35">
      <c r="B358" s="26"/>
    </row>
    <row r="359" spans="2:2" ht="15" x14ac:dyDescent="0.35">
      <c r="B359" s="26"/>
    </row>
    <row r="360" spans="2:2" ht="15" x14ac:dyDescent="0.35">
      <c r="B360" s="26"/>
    </row>
    <row r="361" spans="2:2" ht="15" x14ac:dyDescent="0.35">
      <c r="B361" s="26"/>
    </row>
    <row r="362" spans="2:2" ht="15" x14ac:dyDescent="0.35">
      <c r="B362" s="26"/>
    </row>
    <row r="363" spans="2:2" ht="15" x14ac:dyDescent="0.35">
      <c r="B363" s="26"/>
    </row>
    <row r="364" spans="2:2" ht="15" x14ac:dyDescent="0.35">
      <c r="B364" s="26"/>
    </row>
    <row r="365" spans="2:2" ht="15" x14ac:dyDescent="0.35">
      <c r="B365" s="26"/>
    </row>
    <row r="366" spans="2:2" ht="15" x14ac:dyDescent="0.35">
      <c r="B366" s="26"/>
    </row>
    <row r="367" spans="2:2" ht="15" x14ac:dyDescent="0.35">
      <c r="B367" s="26"/>
    </row>
    <row r="368" spans="2:2" ht="15" x14ac:dyDescent="0.35">
      <c r="B368" s="26"/>
    </row>
    <row r="369" spans="2:2" ht="15" x14ac:dyDescent="0.35">
      <c r="B369" s="26"/>
    </row>
    <row r="370" spans="2:2" ht="15" x14ac:dyDescent="0.35">
      <c r="B370" s="26"/>
    </row>
    <row r="371" spans="2:2" ht="15" x14ac:dyDescent="0.35">
      <c r="B371" s="26"/>
    </row>
    <row r="372" spans="2:2" ht="15" x14ac:dyDescent="0.35">
      <c r="B372" s="26"/>
    </row>
    <row r="373" spans="2:2" ht="15" x14ac:dyDescent="0.35">
      <c r="B373" s="26"/>
    </row>
    <row r="374" spans="2:2" ht="15" x14ac:dyDescent="0.35">
      <c r="B374" s="26"/>
    </row>
    <row r="375" spans="2:2" ht="15" x14ac:dyDescent="0.35">
      <c r="B375" s="26"/>
    </row>
    <row r="376" spans="2:2" ht="15" x14ac:dyDescent="0.35">
      <c r="B376" s="26"/>
    </row>
    <row r="377" spans="2:2" ht="15" x14ac:dyDescent="0.35">
      <c r="B377" s="26"/>
    </row>
    <row r="378" spans="2:2" ht="15" x14ac:dyDescent="0.35">
      <c r="B378" s="26"/>
    </row>
    <row r="379" spans="2:2" ht="15" x14ac:dyDescent="0.35">
      <c r="B379" s="26"/>
    </row>
    <row r="380" spans="2:2" ht="15" x14ac:dyDescent="0.35">
      <c r="B380" s="26"/>
    </row>
    <row r="381" spans="2:2" ht="15" x14ac:dyDescent="0.35">
      <c r="B381" s="26"/>
    </row>
    <row r="382" spans="2:2" ht="15" x14ac:dyDescent="0.35">
      <c r="B382" s="26"/>
    </row>
    <row r="383" spans="2:2" ht="15" x14ac:dyDescent="0.35">
      <c r="B383" s="26"/>
    </row>
    <row r="384" spans="2:2" ht="15" x14ac:dyDescent="0.35">
      <c r="B384" s="26"/>
    </row>
    <row r="385" spans="2:2" ht="15" x14ac:dyDescent="0.35">
      <c r="B385" s="26"/>
    </row>
    <row r="386" spans="2:2" ht="15" x14ac:dyDescent="0.35">
      <c r="B386" s="26"/>
    </row>
    <row r="387" spans="2:2" ht="15" x14ac:dyDescent="0.35">
      <c r="B387" s="26"/>
    </row>
    <row r="388" spans="2:2" ht="15" x14ac:dyDescent="0.35">
      <c r="B388" s="26"/>
    </row>
    <row r="389" spans="2:2" ht="15" x14ac:dyDescent="0.35">
      <c r="B389" s="26"/>
    </row>
    <row r="390" spans="2:2" ht="15" x14ac:dyDescent="0.35">
      <c r="B390" s="26"/>
    </row>
    <row r="391" spans="2:2" ht="15" x14ac:dyDescent="0.35">
      <c r="B391" s="26"/>
    </row>
    <row r="392" spans="2:2" ht="15" x14ac:dyDescent="0.35">
      <c r="B392" s="26"/>
    </row>
    <row r="393" spans="2:2" ht="15" x14ac:dyDescent="0.35">
      <c r="B393" s="26"/>
    </row>
    <row r="394" spans="2:2" ht="15" x14ac:dyDescent="0.35">
      <c r="B394" s="26"/>
    </row>
    <row r="395" spans="2:2" ht="15" x14ac:dyDescent="0.35">
      <c r="B395" s="26"/>
    </row>
    <row r="396" spans="2:2" ht="15" x14ac:dyDescent="0.35">
      <c r="B396" s="26"/>
    </row>
    <row r="397" spans="2:2" ht="15" x14ac:dyDescent="0.35">
      <c r="B397" s="26"/>
    </row>
    <row r="398" spans="2:2" ht="15" x14ac:dyDescent="0.35">
      <c r="B398" s="26"/>
    </row>
    <row r="399" spans="2:2" ht="15" x14ac:dyDescent="0.35">
      <c r="B399" s="26"/>
    </row>
    <row r="400" spans="2:2" ht="15" x14ac:dyDescent="0.35">
      <c r="B400" s="26"/>
    </row>
    <row r="401" spans="2:2" ht="15" x14ac:dyDescent="0.35">
      <c r="B401" s="26"/>
    </row>
    <row r="402" spans="2:2" ht="15" x14ac:dyDescent="0.35">
      <c r="B402" s="26"/>
    </row>
    <row r="403" spans="2:2" ht="15" x14ac:dyDescent="0.35">
      <c r="B403" s="26"/>
    </row>
    <row r="404" spans="2:2" ht="15" x14ac:dyDescent="0.35">
      <c r="B404" s="26"/>
    </row>
    <row r="405" spans="2:2" ht="15" x14ac:dyDescent="0.35">
      <c r="B405" s="26"/>
    </row>
    <row r="406" spans="2:2" ht="15" x14ac:dyDescent="0.35">
      <c r="B406" s="26"/>
    </row>
    <row r="407" spans="2:2" ht="15" x14ac:dyDescent="0.35">
      <c r="B407" s="26"/>
    </row>
    <row r="408" spans="2:2" ht="15" x14ac:dyDescent="0.35">
      <c r="B408" s="26"/>
    </row>
    <row r="409" spans="2:2" ht="15" x14ac:dyDescent="0.35">
      <c r="B409" s="26"/>
    </row>
    <row r="410" spans="2:2" ht="15" x14ac:dyDescent="0.35">
      <c r="B410" s="26"/>
    </row>
    <row r="411" spans="2:2" ht="15" x14ac:dyDescent="0.35">
      <c r="B411" s="26"/>
    </row>
    <row r="412" spans="2:2" ht="15" x14ac:dyDescent="0.35">
      <c r="B412" s="26"/>
    </row>
    <row r="413" spans="2:2" ht="15" x14ac:dyDescent="0.35">
      <c r="B413" s="26"/>
    </row>
    <row r="414" spans="2:2" ht="15" x14ac:dyDescent="0.35">
      <c r="B414" s="26"/>
    </row>
    <row r="415" spans="2:2" ht="15" x14ac:dyDescent="0.35">
      <c r="B415" s="26"/>
    </row>
    <row r="416" spans="2:2" ht="15" x14ac:dyDescent="0.35">
      <c r="B416" s="26"/>
    </row>
    <row r="417" spans="2:2" ht="15" x14ac:dyDescent="0.35">
      <c r="B417" s="26"/>
    </row>
    <row r="418" spans="2:2" ht="15" x14ac:dyDescent="0.35">
      <c r="B418" s="26"/>
    </row>
    <row r="419" spans="2:2" ht="15" x14ac:dyDescent="0.35">
      <c r="B419" s="26"/>
    </row>
    <row r="420" spans="2:2" ht="15" x14ac:dyDescent="0.35">
      <c r="B420" s="26"/>
    </row>
    <row r="421" spans="2:2" ht="15" x14ac:dyDescent="0.35">
      <c r="B421" s="26"/>
    </row>
    <row r="422" spans="2:2" ht="15" x14ac:dyDescent="0.35">
      <c r="B422" s="26"/>
    </row>
    <row r="423" spans="2:2" ht="15" x14ac:dyDescent="0.35">
      <c r="B423" s="26"/>
    </row>
    <row r="424" spans="2:2" ht="15" x14ac:dyDescent="0.35">
      <c r="B424" s="26"/>
    </row>
    <row r="425" spans="2:2" ht="15" x14ac:dyDescent="0.35">
      <c r="B425" s="26"/>
    </row>
    <row r="426" spans="2:2" ht="15" x14ac:dyDescent="0.35">
      <c r="B426" s="26"/>
    </row>
    <row r="427" spans="2:2" ht="15" x14ac:dyDescent="0.35">
      <c r="B427" s="26"/>
    </row>
    <row r="428" spans="2:2" ht="15" x14ac:dyDescent="0.35">
      <c r="B428" s="26"/>
    </row>
    <row r="429" spans="2:2" ht="15" x14ac:dyDescent="0.35">
      <c r="B429" s="26"/>
    </row>
    <row r="430" spans="2:2" ht="15" x14ac:dyDescent="0.35">
      <c r="B430" s="26"/>
    </row>
    <row r="431" spans="2:2" ht="15" x14ac:dyDescent="0.35">
      <c r="B431" s="26"/>
    </row>
    <row r="432" spans="2:2" ht="15" x14ac:dyDescent="0.35">
      <c r="B432" s="26"/>
    </row>
    <row r="433" spans="2:2" ht="15" x14ac:dyDescent="0.35">
      <c r="B433" s="26"/>
    </row>
    <row r="434" spans="2:2" ht="15" x14ac:dyDescent="0.35">
      <c r="B434" s="26"/>
    </row>
    <row r="435" spans="2:2" ht="15" x14ac:dyDescent="0.35">
      <c r="B435" s="26"/>
    </row>
    <row r="436" spans="2:2" ht="15" x14ac:dyDescent="0.35">
      <c r="B436" s="26"/>
    </row>
    <row r="437" spans="2:2" ht="15" x14ac:dyDescent="0.35">
      <c r="B437" s="26"/>
    </row>
    <row r="438" spans="2:2" ht="15" x14ac:dyDescent="0.35">
      <c r="B438" s="26"/>
    </row>
    <row r="439" spans="2:2" ht="15" x14ac:dyDescent="0.35">
      <c r="B439" s="26"/>
    </row>
    <row r="440" spans="2:2" ht="15" x14ac:dyDescent="0.35">
      <c r="B440" s="26"/>
    </row>
    <row r="441" spans="2:2" ht="15" x14ac:dyDescent="0.35">
      <c r="B441" s="26"/>
    </row>
    <row r="442" spans="2:2" ht="15" x14ac:dyDescent="0.35">
      <c r="B442" s="26"/>
    </row>
    <row r="443" spans="2:2" ht="15" x14ac:dyDescent="0.35">
      <c r="B443" s="26"/>
    </row>
    <row r="444" spans="2:2" ht="15" x14ac:dyDescent="0.35">
      <c r="B444" s="26"/>
    </row>
    <row r="445" spans="2:2" ht="15" x14ac:dyDescent="0.35">
      <c r="B445" s="26"/>
    </row>
    <row r="446" spans="2:2" ht="15" x14ac:dyDescent="0.35">
      <c r="B446" s="26"/>
    </row>
    <row r="447" spans="2:2" ht="15" x14ac:dyDescent="0.35">
      <c r="B447" s="26"/>
    </row>
    <row r="448" spans="2:2" ht="15" x14ac:dyDescent="0.35">
      <c r="B448" s="26"/>
    </row>
    <row r="449" spans="2:2" ht="15" x14ac:dyDescent="0.35">
      <c r="B449" s="26"/>
    </row>
    <row r="450" spans="2:2" ht="15" x14ac:dyDescent="0.35">
      <c r="B450" s="26"/>
    </row>
    <row r="451" spans="2:2" ht="15" x14ac:dyDescent="0.35">
      <c r="B451" s="26"/>
    </row>
    <row r="452" spans="2:2" ht="15" x14ac:dyDescent="0.35">
      <c r="B452" s="26"/>
    </row>
    <row r="453" spans="2:2" ht="15" x14ac:dyDescent="0.35">
      <c r="B453" s="26"/>
    </row>
    <row r="454" spans="2:2" ht="15" x14ac:dyDescent="0.35">
      <c r="B454" s="26"/>
    </row>
    <row r="455" spans="2:2" ht="15" x14ac:dyDescent="0.35">
      <c r="B455" s="26"/>
    </row>
    <row r="456" spans="2:2" ht="15" x14ac:dyDescent="0.35">
      <c r="B456" s="26"/>
    </row>
    <row r="457" spans="2:2" ht="15" x14ac:dyDescent="0.35">
      <c r="B457" s="26"/>
    </row>
    <row r="458" spans="2:2" ht="15" x14ac:dyDescent="0.35">
      <c r="B458" s="26"/>
    </row>
    <row r="459" spans="2:2" ht="15" x14ac:dyDescent="0.35">
      <c r="B459" s="26"/>
    </row>
    <row r="460" spans="2:2" ht="15" x14ac:dyDescent="0.35">
      <c r="B460" s="26"/>
    </row>
    <row r="461" spans="2:2" ht="15" x14ac:dyDescent="0.35">
      <c r="B461" s="26"/>
    </row>
    <row r="462" spans="2:2" ht="15" x14ac:dyDescent="0.35">
      <c r="B462" s="26"/>
    </row>
    <row r="463" spans="2:2" ht="15" x14ac:dyDescent="0.35">
      <c r="B463" s="26"/>
    </row>
    <row r="464" spans="2:2" ht="15" x14ac:dyDescent="0.35">
      <c r="B464" s="26"/>
    </row>
    <row r="465" spans="2:2" ht="15" x14ac:dyDescent="0.35">
      <c r="B465" s="26"/>
    </row>
    <row r="466" spans="2:2" ht="15" x14ac:dyDescent="0.35">
      <c r="B466" s="26"/>
    </row>
    <row r="467" spans="2:2" ht="15" x14ac:dyDescent="0.35">
      <c r="B467" s="26"/>
    </row>
    <row r="468" spans="2:2" ht="15" x14ac:dyDescent="0.35">
      <c r="B468" s="26"/>
    </row>
    <row r="469" spans="2:2" ht="15" x14ac:dyDescent="0.35">
      <c r="B469" s="26"/>
    </row>
    <row r="470" spans="2:2" ht="15" x14ac:dyDescent="0.35">
      <c r="B470" s="26"/>
    </row>
    <row r="471" spans="2:2" ht="15" x14ac:dyDescent="0.35">
      <c r="B471" s="26"/>
    </row>
    <row r="472" spans="2:2" ht="15" x14ac:dyDescent="0.35">
      <c r="B472" s="26"/>
    </row>
    <row r="473" spans="2:2" ht="15" x14ac:dyDescent="0.35">
      <c r="B473" s="26"/>
    </row>
    <row r="474" spans="2:2" ht="15" x14ac:dyDescent="0.35">
      <c r="B474" s="26"/>
    </row>
    <row r="475" spans="2:2" ht="15" x14ac:dyDescent="0.35">
      <c r="B475" s="26"/>
    </row>
    <row r="476" spans="2:2" ht="15" x14ac:dyDescent="0.35">
      <c r="B476" s="26"/>
    </row>
    <row r="477" spans="2:2" ht="15" x14ac:dyDescent="0.35">
      <c r="B477" s="26"/>
    </row>
    <row r="478" spans="2:2" ht="15" x14ac:dyDescent="0.35">
      <c r="B478" s="26"/>
    </row>
    <row r="479" spans="2:2" ht="15" x14ac:dyDescent="0.35">
      <c r="B479" s="26"/>
    </row>
    <row r="480" spans="2:2" ht="15" x14ac:dyDescent="0.35">
      <c r="B480" s="26"/>
    </row>
    <row r="481" spans="2:2" ht="15" x14ac:dyDescent="0.35">
      <c r="B481" s="26"/>
    </row>
    <row r="482" spans="2:2" ht="15" x14ac:dyDescent="0.35">
      <c r="B482" s="26"/>
    </row>
    <row r="483" spans="2:2" ht="15" x14ac:dyDescent="0.35">
      <c r="B483" s="26"/>
    </row>
    <row r="484" spans="2:2" ht="15" x14ac:dyDescent="0.35">
      <c r="B484" s="26"/>
    </row>
    <row r="485" spans="2:2" ht="15" x14ac:dyDescent="0.35">
      <c r="B485" s="26"/>
    </row>
    <row r="486" spans="2:2" ht="15" x14ac:dyDescent="0.35">
      <c r="B486" s="26"/>
    </row>
    <row r="487" spans="2:2" ht="15" x14ac:dyDescent="0.35">
      <c r="B487" s="26"/>
    </row>
    <row r="488" spans="2:2" ht="15" x14ac:dyDescent="0.35">
      <c r="B488" s="26"/>
    </row>
    <row r="489" spans="2:2" ht="15" x14ac:dyDescent="0.35">
      <c r="B489" s="26"/>
    </row>
    <row r="490" spans="2:2" ht="15" x14ac:dyDescent="0.35">
      <c r="B490" s="26"/>
    </row>
    <row r="491" spans="2:2" ht="15" x14ac:dyDescent="0.35">
      <c r="B491" s="26"/>
    </row>
    <row r="492" spans="2:2" ht="15" x14ac:dyDescent="0.35">
      <c r="B492" s="26"/>
    </row>
    <row r="493" spans="2:2" ht="15" x14ac:dyDescent="0.35">
      <c r="B493" s="26"/>
    </row>
    <row r="494" spans="2:2" ht="15" x14ac:dyDescent="0.35">
      <c r="B494" s="26"/>
    </row>
    <row r="495" spans="2:2" ht="15" x14ac:dyDescent="0.35">
      <c r="B495" s="26"/>
    </row>
    <row r="496" spans="2:2" ht="15" x14ac:dyDescent="0.35">
      <c r="B496" s="26"/>
    </row>
    <row r="497" spans="2:2" ht="15" x14ac:dyDescent="0.35">
      <c r="B497" s="26"/>
    </row>
    <row r="498" spans="2:2" ht="15" x14ac:dyDescent="0.35">
      <c r="B498" s="26"/>
    </row>
    <row r="499" spans="2:2" ht="15" x14ac:dyDescent="0.35">
      <c r="B499" s="26"/>
    </row>
    <row r="500" spans="2:2" ht="15" x14ac:dyDescent="0.35">
      <c r="B500" s="26"/>
    </row>
    <row r="501" spans="2:2" ht="15" x14ac:dyDescent="0.35">
      <c r="B501" s="26"/>
    </row>
    <row r="502" spans="2:2" ht="15" x14ac:dyDescent="0.35">
      <c r="B502" s="26"/>
    </row>
    <row r="503" spans="2:2" ht="15" x14ac:dyDescent="0.35">
      <c r="B503" s="26"/>
    </row>
    <row r="504" spans="2:2" ht="15" x14ac:dyDescent="0.35">
      <c r="B504" s="26"/>
    </row>
    <row r="505" spans="2:2" ht="15" x14ac:dyDescent="0.35">
      <c r="B505" s="26"/>
    </row>
    <row r="506" spans="2:2" ht="15" x14ac:dyDescent="0.35">
      <c r="B506" s="26"/>
    </row>
    <row r="507" spans="2:2" ht="15" x14ac:dyDescent="0.35">
      <c r="B507" s="26"/>
    </row>
    <row r="508" spans="2:2" ht="15" x14ac:dyDescent="0.35">
      <c r="B508" s="26"/>
    </row>
    <row r="509" spans="2:2" ht="15" x14ac:dyDescent="0.35">
      <c r="B509" s="26"/>
    </row>
    <row r="510" spans="2:2" ht="15" x14ac:dyDescent="0.35">
      <c r="B510" s="26"/>
    </row>
    <row r="511" spans="2:2" ht="15" x14ac:dyDescent="0.35">
      <c r="B511" s="26"/>
    </row>
    <row r="512" spans="2:2" ht="15" x14ac:dyDescent="0.35">
      <c r="B512" s="26"/>
    </row>
    <row r="513" spans="2:2" ht="15" x14ac:dyDescent="0.35">
      <c r="B513" s="26"/>
    </row>
    <row r="514" spans="2:2" ht="15" x14ac:dyDescent="0.35">
      <c r="B514" s="26"/>
    </row>
    <row r="515" spans="2:2" ht="15" x14ac:dyDescent="0.35">
      <c r="B515" s="26"/>
    </row>
    <row r="516" spans="2:2" ht="15" x14ac:dyDescent="0.35">
      <c r="B516" s="26"/>
    </row>
    <row r="517" spans="2:2" ht="15" x14ac:dyDescent="0.35">
      <c r="B517" s="26"/>
    </row>
    <row r="518" spans="2:2" ht="15" x14ac:dyDescent="0.35">
      <c r="B518" s="26"/>
    </row>
    <row r="519" spans="2:2" ht="15" x14ac:dyDescent="0.35">
      <c r="B519" s="26"/>
    </row>
    <row r="520" spans="2:2" ht="15" x14ac:dyDescent="0.35">
      <c r="B520" s="26"/>
    </row>
    <row r="521" spans="2:2" ht="15" x14ac:dyDescent="0.35">
      <c r="B521" s="26"/>
    </row>
    <row r="522" spans="2:2" ht="15" x14ac:dyDescent="0.35">
      <c r="B522" s="26"/>
    </row>
    <row r="523" spans="2:2" ht="15" x14ac:dyDescent="0.35">
      <c r="B523" s="26"/>
    </row>
    <row r="524" spans="2:2" ht="15" x14ac:dyDescent="0.35">
      <c r="B524" s="26"/>
    </row>
    <row r="525" spans="2:2" ht="15" x14ac:dyDescent="0.35">
      <c r="B525" s="26"/>
    </row>
    <row r="526" spans="2:2" ht="15" x14ac:dyDescent="0.35">
      <c r="B526" s="26"/>
    </row>
    <row r="527" spans="2:2" ht="15" x14ac:dyDescent="0.35">
      <c r="B527" s="26"/>
    </row>
    <row r="528" spans="2:2" ht="15" x14ac:dyDescent="0.35">
      <c r="B528" s="26"/>
    </row>
    <row r="529" spans="2:2" ht="15" x14ac:dyDescent="0.35">
      <c r="B529" s="26"/>
    </row>
    <row r="530" spans="2:2" ht="15" x14ac:dyDescent="0.35">
      <c r="B530" s="26"/>
    </row>
    <row r="531" spans="2:2" ht="15" x14ac:dyDescent="0.35">
      <c r="B531" s="26"/>
    </row>
    <row r="532" spans="2:2" ht="15" x14ac:dyDescent="0.35">
      <c r="B532" s="26"/>
    </row>
    <row r="533" spans="2:2" ht="15" x14ac:dyDescent="0.35">
      <c r="B533" s="26"/>
    </row>
    <row r="534" spans="2:2" ht="15" x14ac:dyDescent="0.35">
      <c r="B534" s="26"/>
    </row>
    <row r="535" spans="2:2" ht="15" x14ac:dyDescent="0.35">
      <c r="B535" s="26"/>
    </row>
    <row r="536" spans="2:2" ht="15" x14ac:dyDescent="0.35">
      <c r="B536" s="26"/>
    </row>
    <row r="537" spans="2:2" ht="15" x14ac:dyDescent="0.35">
      <c r="B537" s="26"/>
    </row>
    <row r="538" spans="2:2" ht="15" x14ac:dyDescent="0.35">
      <c r="B538" s="26"/>
    </row>
    <row r="539" spans="2:2" ht="15" x14ac:dyDescent="0.35">
      <c r="B539" s="26"/>
    </row>
    <row r="540" spans="2:2" ht="15" x14ac:dyDescent="0.35">
      <c r="B540" s="26"/>
    </row>
    <row r="541" spans="2:2" ht="15" x14ac:dyDescent="0.35">
      <c r="B541" s="26"/>
    </row>
    <row r="542" spans="2:2" ht="15" x14ac:dyDescent="0.35">
      <c r="B542" s="26"/>
    </row>
    <row r="543" spans="2:2" ht="15" x14ac:dyDescent="0.35">
      <c r="B543" s="26"/>
    </row>
    <row r="544" spans="2:2" ht="15" x14ac:dyDescent="0.35">
      <c r="B544" s="26"/>
    </row>
    <row r="545" spans="2:2" ht="15" x14ac:dyDescent="0.35">
      <c r="B545" s="26"/>
    </row>
    <row r="546" spans="2:2" ht="15" x14ac:dyDescent="0.35">
      <c r="B546" s="26"/>
    </row>
    <row r="547" spans="2:2" ht="15" x14ac:dyDescent="0.35">
      <c r="B547" s="26"/>
    </row>
    <row r="548" spans="2:2" ht="15" x14ac:dyDescent="0.35">
      <c r="B548" s="26"/>
    </row>
    <row r="549" spans="2:2" ht="15" x14ac:dyDescent="0.35">
      <c r="B549" s="26"/>
    </row>
    <row r="550" spans="2:2" ht="15" x14ac:dyDescent="0.35">
      <c r="B550" s="26"/>
    </row>
    <row r="551" spans="2:2" ht="15" x14ac:dyDescent="0.35">
      <c r="B551" s="26"/>
    </row>
    <row r="552" spans="2:2" ht="15" x14ac:dyDescent="0.35">
      <c r="B552" s="26"/>
    </row>
    <row r="553" spans="2:2" ht="15" x14ac:dyDescent="0.35">
      <c r="B553" s="26"/>
    </row>
    <row r="554" spans="2:2" ht="15" x14ac:dyDescent="0.35">
      <c r="B554" s="26"/>
    </row>
    <row r="555" spans="2:2" ht="15" x14ac:dyDescent="0.35">
      <c r="B555" s="26"/>
    </row>
    <row r="556" spans="2:2" ht="15" x14ac:dyDescent="0.35">
      <c r="B556" s="26"/>
    </row>
    <row r="557" spans="2:2" ht="15" x14ac:dyDescent="0.35">
      <c r="B557" s="26"/>
    </row>
    <row r="558" spans="2:2" ht="15" x14ac:dyDescent="0.35">
      <c r="B558" s="26"/>
    </row>
    <row r="559" spans="2:2" ht="15" x14ac:dyDescent="0.35">
      <c r="B559" s="26"/>
    </row>
    <row r="560" spans="2:2" ht="15" x14ac:dyDescent="0.35">
      <c r="B560" s="26"/>
    </row>
    <row r="561" spans="2:2" ht="15" x14ac:dyDescent="0.35">
      <c r="B561" s="26"/>
    </row>
    <row r="562" spans="2:2" ht="15" x14ac:dyDescent="0.35">
      <c r="B562" s="26"/>
    </row>
    <row r="563" spans="2:2" ht="15" x14ac:dyDescent="0.35">
      <c r="B563" s="26"/>
    </row>
    <row r="564" spans="2:2" ht="15" x14ac:dyDescent="0.35">
      <c r="B564" s="26"/>
    </row>
    <row r="565" spans="2:2" ht="15" x14ac:dyDescent="0.35">
      <c r="B565" s="26"/>
    </row>
    <row r="566" spans="2:2" ht="15" x14ac:dyDescent="0.35">
      <c r="B566" s="26"/>
    </row>
    <row r="567" spans="2:2" ht="15" x14ac:dyDescent="0.35">
      <c r="B567" s="26"/>
    </row>
    <row r="568" spans="2:2" ht="15" x14ac:dyDescent="0.35">
      <c r="B568" s="26"/>
    </row>
    <row r="569" spans="2:2" ht="15" x14ac:dyDescent="0.35">
      <c r="B569" s="26"/>
    </row>
    <row r="570" spans="2:2" ht="15" x14ac:dyDescent="0.35">
      <c r="B570" s="26"/>
    </row>
    <row r="571" spans="2:2" ht="15" x14ac:dyDescent="0.35">
      <c r="B571" s="26"/>
    </row>
    <row r="572" spans="2:2" ht="15" x14ac:dyDescent="0.35">
      <c r="B572" s="26"/>
    </row>
    <row r="573" spans="2:2" ht="15" x14ac:dyDescent="0.35">
      <c r="B573" s="26"/>
    </row>
    <row r="574" spans="2:2" ht="15" x14ac:dyDescent="0.35">
      <c r="B574" s="26"/>
    </row>
    <row r="575" spans="2:2" ht="15" x14ac:dyDescent="0.35">
      <c r="B575" s="26"/>
    </row>
    <row r="576" spans="2:2" ht="15" x14ac:dyDescent="0.35">
      <c r="B576" s="26"/>
    </row>
    <row r="577" spans="2:2" ht="15" x14ac:dyDescent="0.35">
      <c r="B577" s="26"/>
    </row>
    <row r="578" spans="2:2" ht="15" x14ac:dyDescent="0.35">
      <c r="B578" s="26"/>
    </row>
    <row r="579" spans="2:2" ht="15" x14ac:dyDescent="0.35">
      <c r="B579" s="26"/>
    </row>
    <row r="580" spans="2:2" ht="15" x14ac:dyDescent="0.35">
      <c r="B580" s="26"/>
    </row>
    <row r="581" spans="2:2" ht="15" x14ac:dyDescent="0.35">
      <c r="B581" s="26"/>
    </row>
    <row r="582" spans="2:2" ht="15" x14ac:dyDescent="0.35">
      <c r="B582" s="26"/>
    </row>
    <row r="583" spans="2:2" ht="15" x14ac:dyDescent="0.35">
      <c r="B583" s="26"/>
    </row>
    <row r="584" spans="2:2" ht="15" x14ac:dyDescent="0.35">
      <c r="B584" s="26"/>
    </row>
    <row r="585" spans="2:2" ht="15" x14ac:dyDescent="0.35">
      <c r="B585" s="26"/>
    </row>
    <row r="586" spans="2:2" ht="15" x14ac:dyDescent="0.35">
      <c r="B586" s="26"/>
    </row>
    <row r="587" spans="2:2" ht="15" x14ac:dyDescent="0.35">
      <c r="B587" s="26"/>
    </row>
    <row r="588" spans="2:2" ht="15" x14ac:dyDescent="0.35">
      <c r="B588" s="26"/>
    </row>
    <row r="589" spans="2:2" ht="15" x14ac:dyDescent="0.35">
      <c r="B589" s="26"/>
    </row>
    <row r="590" spans="2:2" ht="15" x14ac:dyDescent="0.35">
      <c r="B590" s="26"/>
    </row>
    <row r="591" spans="2:2" ht="15" x14ac:dyDescent="0.35">
      <c r="B591" s="26"/>
    </row>
    <row r="592" spans="2:2" ht="15" x14ac:dyDescent="0.35">
      <c r="B592" s="26"/>
    </row>
    <row r="593" spans="2:2" ht="15" x14ac:dyDescent="0.35">
      <c r="B593" s="26"/>
    </row>
    <row r="594" spans="2:2" ht="15" x14ac:dyDescent="0.35">
      <c r="B594" s="26"/>
    </row>
    <row r="595" spans="2:2" ht="15" x14ac:dyDescent="0.35">
      <c r="B595" s="26"/>
    </row>
    <row r="596" spans="2:2" ht="15" x14ac:dyDescent="0.35">
      <c r="B596" s="26"/>
    </row>
    <row r="597" spans="2:2" ht="15" x14ac:dyDescent="0.35">
      <c r="B597" s="26"/>
    </row>
    <row r="598" spans="2:2" ht="15" x14ac:dyDescent="0.35">
      <c r="B598" s="26"/>
    </row>
    <row r="599" spans="2:2" ht="15" x14ac:dyDescent="0.35">
      <c r="B599" s="26"/>
    </row>
    <row r="600" spans="2:2" ht="15" x14ac:dyDescent="0.35">
      <c r="B600" s="26"/>
    </row>
    <row r="601" spans="2:2" ht="15" x14ac:dyDescent="0.35">
      <c r="B601" s="26"/>
    </row>
    <row r="602" spans="2:2" ht="15" x14ac:dyDescent="0.35">
      <c r="B602" s="26"/>
    </row>
    <row r="603" spans="2:2" ht="15" x14ac:dyDescent="0.35">
      <c r="B603" s="26"/>
    </row>
    <row r="604" spans="2:2" ht="15" x14ac:dyDescent="0.35">
      <c r="B604" s="26"/>
    </row>
    <row r="605" spans="2:2" ht="15" x14ac:dyDescent="0.35">
      <c r="B605" s="26"/>
    </row>
    <row r="606" spans="2:2" ht="15" x14ac:dyDescent="0.35">
      <c r="B606" s="26"/>
    </row>
    <row r="607" spans="2:2" ht="15" x14ac:dyDescent="0.35">
      <c r="B607" s="26"/>
    </row>
    <row r="608" spans="2:2" ht="15" x14ac:dyDescent="0.35">
      <c r="B608" s="26"/>
    </row>
    <row r="609" spans="2:2" ht="15" x14ac:dyDescent="0.35">
      <c r="B609" s="26"/>
    </row>
    <row r="610" spans="2:2" ht="15" x14ac:dyDescent="0.35">
      <c r="B610" s="26"/>
    </row>
    <row r="611" spans="2:2" ht="15" x14ac:dyDescent="0.35">
      <c r="B611" s="26"/>
    </row>
    <row r="612" spans="2:2" ht="15" x14ac:dyDescent="0.35">
      <c r="B612" s="26"/>
    </row>
    <row r="613" spans="2:2" ht="15" x14ac:dyDescent="0.35">
      <c r="B613" s="26"/>
    </row>
    <row r="614" spans="2:2" ht="15" x14ac:dyDescent="0.35">
      <c r="B614" s="26"/>
    </row>
    <row r="615" spans="2:2" ht="15" x14ac:dyDescent="0.35">
      <c r="B615" s="26"/>
    </row>
    <row r="616" spans="2:2" ht="15" x14ac:dyDescent="0.35">
      <c r="B616" s="26"/>
    </row>
    <row r="617" spans="2:2" ht="15" x14ac:dyDescent="0.35">
      <c r="B617" s="26"/>
    </row>
    <row r="618" spans="2:2" ht="15" x14ac:dyDescent="0.35">
      <c r="B618" s="26"/>
    </row>
    <row r="619" spans="2:2" ht="15" x14ac:dyDescent="0.35">
      <c r="B619" s="26"/>
    </row>
    <row r="620" spans="2:2" ht="15" x14ac:dyDescent="0.35">
      <c r="B620" s="26"/>
    </row>
    <row r="621" spans="2:2" ht="15" x14ac:dyDescent="0.35">
      <c r="B621" s="26"/>
    </row>
    <row r="622" spans="2:2" ht="15" x14ac:dyDescent="0.35">
      <c r="B622" s="26"/>
    </row>
    <row r="623" spans="2:2" ht="15" x14ac:dyDescent="0.35">
      <c r="B623" s="26"/>
    </row>
    <row r="624" spans="2:2" ht="15" x14ac:dyDescent="0.35">
      <c r="B624" s="26"/>
    </row>
    <row r="625" spans="2:2" ht="15" x14ac:dyDescent="0.35">
      <c r="B625" s="26"/>
    </row>
    <row r="626" spans="2:2" ht="15" x14ac:dyDescent="0.35">
      <c r="B626" s="26"/>
    </row>
    <row r="627" spans="2:2" ht="15" x14ac:dyDescent="0.35">
      <c r="B627" s="26"/>
    </row>
    <row r="628" spans="2:2" ht="15" x14ac:dyDescent="0.35">
      <c r="B628" s="26"/>
    </row>
    <row r="629" spans="2:2" ht="15" x14ac:dyDescent="0.35">
      <c r="B629" s="26"/>
    </row>
    <row r="630" spans="2:2" ht="15" x14ac:dyDescent="0.35">
      <c r="B630" s="26"/>
    </row>
    <row r="631" spans="2:2" ht="15" x14ac:dyDescent="0.35">
      <c r="B631" s="26"/>
    </row>
    <row r="632" spans="2:2" ht="15" x14ac:dyDescent="0.35">
      <c r="B632" s="26"/>
    </row>
    <row r="633" spans="2:2" ht="15" x14ac:dyDescent="0.35">
      <c r="B633" s="26"/>
    </row>
    <row r="634" spans="2:2" ht="15" x14ac:dyDescent="0.35">
      <c r="B634" s="26"/>
    </row>
    <row r="635" spans="2:2" ht="15" x14ac:dyDescent="0.35">
      <c r="B635" s="26"/>
    </row>
    <row r="636" spans="2:2" ht="15" x14ac:dyDescent="0.35">
      <c r="B636" s="26"/>
    </row>
    <row r="637" spans="2:2" ht="15" x14ac:dyDescent="0.35">
      <c r="B637" s="26"/>
    </row>
    <row r="638" spans="2:2" ht="15" x14ac:dyDescent="0.35">
      <c r="B638" s="26"/>
    </row>
    <row r="639" spans="2:2" ht="15" x14ac:dyDescent="0.35">
      <c r="B639" s="26"/>
    </row>
    <row r="640" spans="2:2" ht="15" x14ac:dyDescent="0.35">
      <c r="B640" s="26"/>
    </row>
    <row r="641" spans="2:2" ht="15" x14ac:dyDescent="0.35">
      <c r="B641" s="26"/>
    </row>
    <row r="642" spans="2:2" ht="15" x14ac:dyDescent="0.35">
      <c r="B642" s="26"/>
    </row>
    <row r="643" spans="2:2" ht="15" x14ac:dyDescent="0.35">
      <c r="B643" s="26"/>
    </row>
    <row r="644" spans="2:2" ht="15" x14ac:dyDescent="0.35">
      <c r="B644" s="26"/>
    </row>
    <row r="645" spans="2:2" ht="15" x14ac:dyDescent="0.35">
      <c r="B645" s="26"/>
    </row>
    <row r="646" spans="2:2" ht="15" x14ac:dyDescent="0.35">
      <c r="B646" s="26"/>
    </row>
    <row r="647" spans="2:2" ht="15" x14ac:dyDescent="0.35">
      <c r="B647" s="26"/>
    </row>
    <row r="648" spans="2:2" ht="15" x14ac:dyDescent="0.35">
      <c r="B648" s="26"/>
    </row>
    <row r="649" spans="2:2" ht="15" x14ac:dyDescent="0.35">
      <c r="B649" s="26"/>
    </row>
    <row r="650" spans="2:2" ht="15" x14ac:dyDescent="0.35">
      <c r="B650" s="26"/>
    </row>
    <row r="651" spans="2:2" ht="15" x14ac:dyDescent="0.35">
      <c r="B651" s="26"/>
    </row>
    <row r="652" spans="2:2" ht="15" x14ac:dyDescent="0.35">
      <c r="B652" s="26"/>
    </row>
    <row r="653" spans="2:2" ht="15" x14ac:dyDescent="0.35">
      <c r="B653" s="26"/>
    </row>
    <row r="654" spans="2:2" ht="15" x14ac:dyDescent="0.35">
      <c r="B654" s="26"/>
    </row>
    <row r="655" spans="2:2" ht="15" x14ac:dyDescent="0.35">
      <c r="B655" s="26"/>
    </row>
    <row r="656" spans="2:2" ht="15" x14ac:dyDescent="0.35">
      <c r="B656" s="26"/>
    </row>
    <row r="657" spans="2:2" ht="15" x14ac:dyDescent="0.35">
      <c r="B657" s="26"/>
    </row>
    <row r="658" spans="2:2" ht="15" x14ac:dyDescent="0.35">
      <c r="B658" s="26"/>
    </row>
    <row r="659" spans="2:2" ht="15" x14ac:dyDescent="0.35">
      <c r="B659" s="26"/>
    </row>
    <row r="660" spans="2:2" ht="15" x14ac:dyDescent="0.35">
      <c r="B660" s="26"/>
    </row>
    <row r="661" spans="2:2" ht="15" x14ac:dyDescent="0.35">
      <c r="B661" s="26"/>
    </row>
    <row r="662" spans="2:2" ht="15" x14ac:dyDescent="0.35">
      <c r="B662" s="26"/>
    </row>
    <row r="663" spans="2:2" ht="15" x14ac:dyDescent="0.35">
      <c r="B663" s="26"/>
    </row>
    <row r="664" spans="2:2" ht="15" x14ac:dyDescent="0.35">
      <c r="B664" s="26"/>
    </row>
    <row r="665" spans="2:2" ht="15" x14ac:dyDescent="0.35">
      <c r="B665" s="26"/>
    </row>
    <row r="666" spans="2:2" ht="15" x14ac:dyDescent="0.35">
      <c r="B666" s="26"/>
    </row>
    <row r="667" spans="2:2" ht="15" x14ac:dyDescent="0.35">
      <c r="B667" s="26"/>
    </row>
    <row r="668" spans="2:2" ht="15" x14ac:dyDescent="0.35">
      <c r="B668" s="26"/>
    </row>
    <row r="669" spans="2:2" ht="15" x14ac:dyDescent="0.35">
      <c r="B669" s="26"/>
    </row>
    <row r="670" spans="2:2" ht="15" x14ac:dyDescent="0.35">
      <c r="B670" s="26"/>
    </row>
    <row r="671" spans="2:2" ht="15" x14ac:dyDescent="0.35">
      <c r="B671" s="26"/>
    </row>
    <row r="672" spans="2:2" ht="15" x14ac:dyDescent="0.35">
      <c r="B672" s="26"/>
    </row>
    <row r="673" spans="2:2" ht="15" x14ac:dyDescent="0.35">
      <c r="B673" s="26"/>
    </row>
    <row r="674" spans="2:2" ht="15" x14ac:dyDescent="0.35">
      <c r="B674" s="26"/>
    </row>
    <row r="675" spans="2:2" ht="15" x14ac:dyDescent="0.35">
      <c r="B675" s="26"/>
    </row>
    <row r="676" spans="2:2" ht="15" x14ac:dyDescent="0.35">
      <c r="B676" s="26"/>
    </row>
    <row r="677" spans="2:2" ht="15" x14ac:dyDescent="0.35">
      <c r="B677" s="26"/>
    </row>
    <row r="678" spans="2:2" ht="15" x14ac:dyDescent="0.35">
      <c r="B678" s="26"/>
    </row>
    <row r="679" spans="2:2" ht="15" x14ac:dyDescent="0.35">
      <c r="B679" s="26"/>
    </row>
    <row r="680" spans="2:2" ht="15" x14ac:dyDescent="0.35">
      <c r="B680" s="26"/>
    </row>
    <row r="681" spans="2:2" ht="15" x14ac:dyDescent="0.35">
      <c r="B681" s="26"/>
    </row>
    <row r="682" spans="2:2" ht="15" x14ac:dyDescent="0.35">
      <c r="B682" s="26"/>
    </row>
    <row r="683" spans="2:2" ht="15" x14ac:dyDescent="0.35">
      <c r="B683" s="26"/>
    </row>
    <row r="684" spans="2:2" ht="15" x14ac:dyDescent="0.35">
      <c r="B684" s="26"/>
    </row>
    <row r="685" spans="2:2" ht="15" x14ac:dyDescent="0.35">
      <c r="B685" s="26"/>
    </row>
    <row r="686" spans="2:2" ht="15" x14ac:dyDescent="0.35">
      <c r="B686" s="26"/>
    </row>
    <row r="687" spans="2:2" ht="15" x14ac:dyDescent="0.35">
      <c r="B687" s="26"/>
    </row>
    <row r="688" spans="2:2" ht="15" x14ac:dyDescent="0.35">
      <c r="B688" s="26"/>
    </row>
    <row r="689" spans="2:2" ht="15" x14ac:dyDescent="0.35">
      <c r="B689" s="26"/>
    </row>
    <row r="690" spans="2:2" ht="15" x14ac:dyDescent="0.35">
      <c r="B690" s="26"/>
    </row>
    <row r="691" spans="2:2" ht="15" x14ac:dyDescent="0.35">
      <c r="B691" s="26"/>
    </row>
    <row r="692" spans="2:2" ht="15" x14ac:dyDescent="0.35">
      <c r="B692" s="26"/>
    </row>
    <row r="693" spans="2:2" ht="15" x14ac:dyDescent="0.35">
      <c r="B693" s="26"/>
    </row>
    <row r="694" spans="2:2" ht="15" x14ac:dyDescent="0.35">
      <c r="B694" s="26"/>
    </row>
    <row r="695" spans="2:2" ht="15" x14ac:dyDescent="0.35">
      <c r="B695" s="26"/>
    </row>
    <row r="696" spans="2:2" ht="15" x14ac:dyDescent="0.35">
      <c r="B696" s="26"/>
    </row>
    <row r="697" spans="2:2" ht="15" x14ac:dyDescent="0.35">
      <c r="B697" s="26"/>
    </row>
    <row r="698" spans="2:2" ht="15" x14ac:dyDescent="0.35">
      <c r="B698" s="26"/>
    </row>
    <row r="699" spans="2:2" ht="15" x14ac:dyDescent="0.35">
      <c r="B699" s="26"/>
    </row>
    <row r="700" spans="2:2" ht="15" x14ac:dyDescent="0.35">
      <c r="B700" s="26"/>
    </row>
    <row r="701" spans="2:2" ht="15" x14ac:dyDescent="0.35">
      <c r="B701" s="26"/>
    </row>
    <row r="702" spans="2:2" ht="15" x14ac:dyDescent="0.35">
      <c r="B702" s="26"/>
    </row>
    <row r="703" spans="2:2" ht="15" x14ac:dyDescent="0.35">
      <c r="B703" s="26"/>
    </row>
    <row r="704" spans="2:2" ht="15" x14ac:dyDescent="0.35">
      <c r="B704" s="26"/>
    </row>
    <row r="705" spans="2:2" ht="15" x14ac:dyDescent="0.35">
      <c r="B705" s="26"/>
    </row>
    <row r="706" spans="2:2" ht="15" x14ac:dyDescent="0.35">
      <c r="B706" s="26"/>
    </row>
    <row r="707" spans="2:2" ht="15" x14ac:dyDescent="0.35">
      <c r="B707" s="26"/>
    </row>
    <row r="708" spans="2:2" ht="15" x14ac:dyDescent="0.35">
      <c r="B708" s="26"/>
    </row>
    <row r="709" spans="2:2" ht="15" x14ac:dyDescent="0.35">
      <c r="B709" s="26"/>
    </row>
    <row r="710" spans="2:2" ht="15" x14ac:dyDescent="0.35">
      <c r="B710" s="26"/>
    </row>
    <row r="711" spans="2:2" ht="15" x14ac:dyDescent="0.35">
      <c r="B711" s="26"/>
    </row>
    <row r="712" spans="2:2" ht="15" x14ac:dyDescent="0.35">
      <c r="B712" s="26"/>
    </row>
    <row r="713" spans="2:2" ht="15" x14ac:dyDescent="0.35">
      <c r="B713" s="26"/>
    </row>
    <row r="714" spans="2:2" ht="15" x14ac:dyDescent="0.35">
      <c r="B714" s="26"/>
    </row>
    <row r="715" spans="2:2" ht="15" x14ac:dyDescent="0.35">
      <c r="B715" s="26"/>
    </row>
    <row r="716" spans="2:2" ht="15" x14ac:dyDescent="0.35">
      <c r="B716" s="26"/>
    </row>
    <row r="717" spans="2:2" ht="15" x14ac:dyDescent="0.35">
      <c r="B717" s="26"/>
    </row>
    <row r="718" spans="2:2" ht="15" x14ac:dyDescent="0.35">
      <c r="B718" s="26"/>
    </row>
    <row r="719" spans="2:2" ht="15" x14ac:dyDescent="0.35">
      <c r="B719" s="26"/>
    </row>
    <row r="720" spans="2:2" ht="15" x14ac:dyDescent="0.35">
      <c r="B720" s="26"/>
    </row>
    <row r="721" spans="2:2" ht="15" x14ac:dyDescent="0.35">
      <c r="B721" s="26"/>
    </row>
    <row r="722" spans="2:2" ht="15" x14ac:dyDescent="0.35">
      <c r="B722" s="26"/>
    </row>
    <row r="723" spans="2:2" ht="15" x14ac:dyDescent="0.35">
      <c r="B723" s="26"/>
    </row>
    <row r="724" spans="2:2" ht="15" x14ac:dyDescent="0.35">
      <c r="B724" s="26"/>
    </row>
    <row r="725" spans="2:2" ht="15" x14ac:dyDescent="0.35">
      <c r="B725" s="26"/>
    </row>
    <row r="726" spans="2:2" ht="15" x14ac:dyDescent="0.35">
      <c r="B726" s="26"/>
    </row>
    <row r="727" spans="2:2" ht="15" x14ac:dyDescent="0.35">
      <c r="B727" s="26"/>
    </row>
    <row r="728" spans="2:2" ht="15" x14ac:dyDescent="0.35">
      <c r="B728" s="26"/>
    </row>
    <row r="729" spans="2:2" ht="15" x14ac:dyDescent="0.35">
      <c r="B729" s="26"/>
    </row>
    <row r="730" spans="2:2" ht="15" x14ac:dyDescent="0.35">
      <c r="B730" s="26"/>
    </row>
    <row r="731" spans="2:2" ht="15" x14ac:dyDescent="0.35">
      <c r="B731" s="26"/>
    </row>
    <row r="732" spans="2:2" ht="15" x14ac:dyDescent="0.35">
      <c r="B732" s="26"/>
    </row>
    <row r="733" spans="2:2" ht="15" x14ac:dyDescent="0.35">
      <c r="B733" s="26"/>
    </row>
    <row r="734" spans="2:2" ht="15" x14ac:dyDescent="0.35">
      <c r="B734" s="26"/>
    </row>
    <row r="735" spans="2:2" ht="15" x14ac:dyDescent="0.35">
      <c r="B735" s="26"/>
    </row>
    <row r="736" spans="2:2" ht="15" x14ac:dyDescent="0.35">
      <c r="B736" s="26"/>
    </row>
    <row r="737" spans="2:2" ht="15" x14ac:dyDescent="0.35">
      <c r="B737" s="26"/>
    </row>
    <row r="738" spans="2:2" ht="15" x14ac:dyDescent="0.35">
      <c r="B738" s="26"/>
    </row>
    <row r="739" spans="2:2" ht="15" x14ac:dyDescent="0.35">
      <c r="B739" s="26"/>
    </row>
    <row r="740" spans="2:2" ht="15" x14ac:dyDescent="0.35">
      <c r="B740" s="26"/>
    </row>
    <row r="741" spans="2:2" ht="15" x14ac:dyDescent="0.35">
      <c r="B741" s="26"/>
    </row>
    <row r="742" spans="2:2" ht="15" x14ac:dyDescent="0.35">
      <c r="B742" s="26"/>
    </row>
    <row r="743" spans="2:2" ht="15" x14ac:dyDescent="0.35">
      <c r="B743" s="26"/>
    </row>
    <row r="744" spans="2:2" ht="15" x14ac:dyDescent="0.35">
      <c r="B744" s="26"/>
    </row>
    <row r="745" spans="2:2" ht="15" x14ac:dyDescent="0.35">
      <c r="B745" s="26"/>
    </row>
    <row r="746" spans="2:2" ht="15" x14ac:dyDescent="0.35">
      <c r="B746" s="26"/>
    </row>
    <row r="747" spans="2:2" ht="15" x14ac:dyDescent="0.35">
      <c r="B747" s="26"/>
    </row>
    <row r="748" spans="2:2" ht="15" x14ac:dyDescent="0.35">
      <c r="B748" s="26"/>
    </row>
    <row r="749" spans="2:2" ht="15" x14ac:dyDescent="0.35">
      <c r="B749" s="26"/>
    </row>
    <row r="750" spans="2:2" ht="15" x14ac:dyDescent="0.35">
      <c r="B750" s="26"/>
    </row>
    <row r="751" spans="2:2" ht="15" x14ac:dyDescent="0.35">
      <c r="B751" s="26"/>
    </row>
    <row r="752" spans="2:2" ht="15" x14ac:dyDescent="0.35">
      <c r="B752" s="26"/>
    </row>
    <row r="753" spans="2:2" ht="15" x14ac:dyDescent="0.35">
      <c r="B753" s="26"/>
    </row>
    <row r="754" spans="2:2" ht="15" x14ac:dyDescent="0.35">
      <c r="B754" s="26"/>
    </row>
    <row r="755" spans="2:2" ht="15" x14ac:dyDescent="0.35">
      <c r="B755" s="26"/>
    </row>
    <row r="756" spans="2:2" ht="15" x14ac:dyDescent="0.35">
      <c r="B756" s="26"/>
    </row>
    <row r="757" spans="2:2" ht="15" x14ac:dyDescent="0.35">
      <c r="B757" s="26"/>
    </row>
    <row r="758" spans="2:2" ht="15" x14ac:dyDescent="0.35">
      <c r="B758" s="26"/>
    </row>
    <row r="759" spans="2:2" ht="15" x14ac:dyDescent="0.35">
      <c r="B759" s="26"/>
    </row>
    <row r="760" spans="2:2" ht="15" x14ac:dyDescent="0.35">
      <c r="B760" s="26"/>
    </row>
    <row r="761" spans="2:2" ht="15" x14ac:dyDescent="0.35">
      <c r="B761" s="26"/>
    </row>
    <row r="762" spans="2:2" ht="15" x14ac:dyDescent="0.35">
      <c r="B762" s="26"/>
    </row>
    <row r="763" spans="2:2" ht="15" x14ac:dyDescent="0.35">
      <c r="B763" s="26"/>
    </row>
    <row r="764" spans="2:2" ht="15" x14ac:dyDescent="0.35">
      <c r="B764" s="26"/>
    </row>
    <row r="765" spans="2:2" ht="15" x14ac:dyDescent="0.35">
      <c r="B765" s="26"/>
    </row>
    <row r="766" spans="2:2" ht="15" x14ac:dyDescent="0.35">
      <c r="B766" s="26"/>
    </row>
    <row r="767" spans="2:2" ht="15" x14ac:dyDescent="0.35">
      <c r="B767" s="26"/>
    </row>
    <row r="768" spans="2:2" ht="15" x14ac:dyDescent="0.35">
      <c r="B768" s="26"/>
    </row>
    <row r="769" spans="2:2" ht="15" x14ac:dyDescent="0.35">
      <c r="B769" s="26"/>
    </row>
    <row r="770" spans="2:2" ht="15" x14ac:dyDescent="0.35">
      <c r="B770" s="26"/>
    </row>
    <row r="771" spans="2:2" ht="15" x14ac:dyDescent="0.35">
      <c r="B771" s="26"/>
    </row>
    <row r="772" spans="2:2" ht="15" x14ac:dyDescent="0.35">
      <c r="B772" s="26"/>
    </row>
    <row r="773" spans="2:2" ht="15" x14ac:dyDescent="0.35">
      <c r="B773" s="26"/>
    </row>
    <row r="774" spans="2:2" ht="15" x14ac:dyDescent="0.35">
      <c r="B774" s="26"/>
    </row>
    <row r="775" spans="2:2" ht="15" x14ac:dyDescent="0.35">
      <c r="B775" s="26"/>
    </row>
    <row r="776" spans="2:2" ht="15" x14ac:dyDescent="0.35">
      <c r="B776" s="26"/>
    </row>
    <row r="777" spans="2:2" ht="15" x14ac:dyDescent="0.35">
      <c r="B777" s="26"/>
    </row>
    <row r="778" spans="2:2" ht="15" x14ac:dyDescent="0.35">
      <c r="B778" s="26"/>
    </row>
    <row r="779" spans="2:2" ht="15" x14ac:dyDescent="0.35">
      <c r="B779" s="26"/>
    </row>
    <row r="780" spans="2:2" ht="15" x14ac:dyDescent="0.35">
      <c r="B780" s="26"/>
    </row>
    <row r="781" spans="2:2" ht="15" x14ac:dyDescent="0.35">
      <c r="B781" s="26"/>
    </row>
    <row r="782" spans="2:2" ht="15" x14ac:dyDescent="0.35">
      <c r="B782" s="26"/>
    </row>
    <row r="783" spans="2:2" ht="15" x14ac:dyDescent="0.35">
      <c r="B783" s="26"/>
    </row>
    <row r="784" spans="2:2" ht="15" x14ac:dyDescent="0.35">
      <c r="B784" s="26"/>
    </row>
    <row r="785" spans="2:2" ht="15" x14ac:dyDescent="0.35">
      <c r="B785" s="26"/>
    </row>
    <row r="786" spans="2:2" ht="15" x14ac:dyDescent="0.35">
      <c r="B786" s="26"/>
    </row>
    <row r="787" spans="2:2" ht="15" x14ac:dyDescent="0.35">
      <c r="B787" s="26"/>
    </row>
    <row r="788" spans="2:2" ht="15" x14ac:dyDescent="0.35">
      <c r="B788" s="26"/>
    </row>
    <row r="789" spans="2:2" ht="15" x14ac:dyDescent="0.35">
      <c r="B789" s="26"/>
    </row>
    <row r="790" spans="2:2" ht="15" x14ac:dyDescent="0.35">
      <c r="B790" s="26"/>
    </row>
    <row r="791" spans="2:2" ht="15" x14ac:dyDescent="0.35">
      <c r="B791" s="26"/>
    </row>
    <row r="792" spans="2:2" ht="15" x14ac:dyDescent="0.35">
      <c r="B792" s="26"/>
    </row>
    <row r="793" spans="2:2" ht="15" x14ac:dyDescent="0.35">
      <c r="B793" s="26"/>
    </row>
    <row r="794" spans="2:2" ht="15" x14ac:dyDescent="0.35">
      <c r="B794" s="26"/>
    </row>
    <row r="795" spans="2:2" ht="15" x14ac:dyDescent="0.35">
      <c r="B795" s="26"/>
    </row>
    <row r="796" spans="2:2" ht="15" x14ac:dyDescent="0.35">
      <c r="B796" s="26"/>
    </row>
    <row r="797" spans="2:2" ht="15" x14ac:dyDescent="0.35">
      <c r="B797" s="26"/>
    </row>
    <row r="798" spans="2:2" ht="15" x14ac:dyDescent="0.35">
      <c r="B798" s="26"/>
    </row>
    <row r="799" spans="2:2" ht="15" x14ac:dyDescent="0.35">
      <c r="B799" s="26"/>
    </row>
    <row r="800" spans="2:2" ht="15" x14ac:dyDescent="0.35">
      <c r="B800" s="26"/>
    </row>
    <row r="801" spans="2:2" ht="15" x14ac:dyDescent="0.35">
      <c r="B801" s="26"/>
    </row>
    <row r="802" spans="2:2" ht="15" x14ac:dyDescent="0.35">
      <c r="B802" s="26"/>
    </row>
    <row r="803" spans="2:2" ht="15" x14ac:dyDescent="0.35">
      <c r="B803" s="26"/>
    </row>
    <row r="804" spans="2:2" ht="15" x14ac:dyDescent="0.35">
      <c r="B804" s="26"/>
    </row>
    <row r="805" spans="2:2" ht="15" x14ac:dyDescent="0.35">
      <c r="B805" s="26"/>
    </row>
    <row r="806" spans="2:2" ht="15" x14ac:dyDescent="0.35">
      <c r="B806" s="26"/>
    </row>
    <row r="807" spans="2:2" ht="15" x14ac:dyDescent="0.35">
      <c r="B807" s="26"/>
    </row>
    <row r="808" spans="2:2" ht="15" x14ac:dyDescent="0.35">
      <c r="B808" s="26"/>
    </row>
    <row r="809" spans="2:2" ht="15" x14ac:dyDescent="0.35">
      <c r="B809" s="26"/>
    </row>
    <row r="810" spans="2:2" ht="15" x14ac:dyDescent="0.35">
      <c r="B810" s="26"/>
    </row>
    <row r="811" spans="2:2" ht="15" x14ac:dyDescent="0.35">
      <c r="B811" s="26"/>
    </row>
    <row r="812" spans="2:2" ht="15" x14ac:dyDescent="0.35">
      <c r="B812" s="26"/>
    </row>
    <row r="813" spans="2:2" ht="15" x14ac:dyDescent="0.35">
      <c r="B813" s="26"/>
    </row>
    <row r="814" spans="2:2" ht="15" x14ac:dyDescent="0.35">
      <c r="B814" s="26"/>
    </row>
    <row r="815" spans="2:2" ht="15" x14ac:dyDescent="0.35">
      <c r="B815" s="26"/>
    </row>
    <row r="816" spans="2:2" ht="15" x14ac:dyDescent="0.35">
      <c r="B816" s="26"/>
    </row>
    <row r="817" spans="2:2" ht="15" x14ac:dyDescent="0.35">
      <c r="B817" s="26"/>
    </row>
    <row r="818" spans="2:2" ht="15" x14ac:dyDescent="0.35">
      <c r="B818" s="26"/>
    </row>
    <row r="819" spans="2:2" ht="15" x14ac:dyDescent="0.35">
      <c r="B819" s="26"/>
    </row>
    <row r="820" spans="2:2" ht="15" x14ac:dyDescent="0.35">
      <c r="B820" s="26"/>
    </row>
    <row r="821" spans="2:2" ht="15" x14ac:dyDescent="0.35">
      <c r="B821" s="26"/>
    </row>
    <row r="822" spans="2:2" ht="15" x14ac:dyDescent="0.35">
      <c r="B822" s="26"/>
    </row>
    <row r="823" spans="2:2" ht="15" x14ac:dyDescent="0.35">
      <c r="B823" s="26"/>
    </row>
    <row r="824" spans="2:2" ht="15" x14ac:dyDescent="0.35">
      <c r="B824" s="26"/>
    </row>
    <row r="825" spans="2:2" ht="15" x14ac:dyDescent="0.35">
      <c r="B825" s="26"/>
    </row>
    <row r="826" spans="2:2" ht="15" x14ac:dyDescent="0.35">
      <c r="B826" s="26"/>
    </row>
    <row r="827" spans="2:2" ht="15" x14ac:dyDescent="0.35">
      <c r="B827" s="26"/>
    </row>
    <row r="828" spans="2:2" ht="15" x14ac:dyDescent="0.35">
      <c r="B828" s="26"/>
    </row>
    <row r="829" spans="2:2" ht="15" x14ac:dyDescent="0.35">
      <c r="B829" s="26"/>
    </row>
    <row r="830" spans="2:2" ht="15" x14ac:dyDescent="0.35">
      <c r="B830" s="26"/>
    </row>
    <row r="831" spans="2:2" ht="15" x14ac:dyDescent="0.35">
      <c r="B831" s="26"/>
    </row>
    <row r="832" spans="2:2" ht="15" x14ac:dyDescent="0.35">
      <c r="B832" s="26"/>
    </row>
    <row r="833" spans="2:2" ht="15" x14ac:dyDescent="0.35">
      <c r="B833" s="26"/>
    </row>
    <row r="834" spans="2:2" ht="15" x14ac:dyDescent="0.35">
      <c r="B834" s="26"/>
    </row>
    <row r="835" spans="2:2" ht="15" x14ac:dyDescent="0.35">
      <c r="B835" s="26"/>
    </row>
    <row r="836" spans="2:2" ht="15" x14ac:dyDescent="0.35">
      <c r="B836" s="26"/>
    </row>
    <row r="837" spans="2:2" ht="15" x14ac:dyDescent="0.35">
      <c r="B837" s="26"/>
    </row>
    <row r="838" spans="2:2" ht="15" x14ac:dyDescent="0.35">
      <c r="B838" s="26"/>
    </row>
    <row r="839" spans="2:2" ht="15" x14ac:dyDescent="0.35">
      <c r="B839" s="26"/>
    </row>
    <row r="840" spans="2:2" ht="15" x14ac:dyDescent="0.35">
      <c r="B840" s="26"/>
    </row>
    <row r="841" spans="2:2" ht="15" x14ac:dyDescent="0.35">
      <c r="B841" s="26"/>
    </row>
    <row r="842" spans="2:2" ht="15" x14ac:dyDescent="0.35">
      <c r="B842" s="26"/>
    </row>
    <row r="843" spans="2:2" ht="15" x14ac:dyDescent="0.35">
      <c r="B843" s="26"/>
    </row>
    <row r="844" spans="2:2" ht="15" x14ac:dyDescent="0.35">
      <c r="B844" s="26"/>
    </row>
    <row r="845" spans="2:2" ht="15" x14ac:dyDescent="0.35">
      <c r="B845" s="26"/>
    </row>
    <row r="846" spans="2:2" ht="15" x14ac:dyDescent="0.35">
      <c r="B846" s="26"/>
    </row>
    <row r="847" spans="2:2" ht="15" x14ac:dyDescent="0.35">
      <c r="B847" s="26"/>
    </row>
    <row r="848" spans="2:2" ht="15" x14ac:dyDescent="0.35">
      <c r="B848" s="26"/>
    </row>
    <row r="849" spans="2:2" ht="15" x14ac:dyDescent="0.35">
      <c r="B849" s="26"/>
    </row>
    <row r="850" spans="2:2" ht="15" x14ac:dyDescent="0.35">
      <c r="B850" s="26"/>
    </row>
    <row r="851" spans="2:2" ht="15" x14ac:dyDescent="0.35">
      <c r="B851" s="26"/>
    </row>
    <row r="852" spans="2:2" ht="15" x14ac:dyDescent="0.35">
      <c r="B852" s="26"/>
    </row>
    <row r="853" spans="2:2" ht="15" x14ac:dyDescent="0.35">
      <c r="B853" s="26"/>
    </row>
    <row r="854" spans="2:2" ht="15" x14ac:dyDescent="0.35">
      <c r="B854" s="26"/>
    </row>
    <row r="855" spans="2:2" ht="15" x14ac:dyDescent="0.35">
      <c r="B855" s="26"/>
    </row>
    <row r="856" spans="2:2" ht="15" x14ac:dyDescent="0.35">
      <c r="B856" s="26"/>
    </row>
    <row r="857" spans="2:2" ht="15" x14ac:dyDescent="0.35">
      <c r="B857" s="26"/>
    </row>
    <row r="858" spans="2:2" ht="15" x14ac:dyDescent="0.35">
      <c r="B858" s="26"/>
    </row>
    <row r="859" spans="2:2" ht="15" x14ac:dyDescent="0.35">
      <c r="B859" s="26"/>
    </row>
    <row r="860" spans="2:2" ht="15" x14ac:dyDescent="0.35">
      <c r="B860" s="26"/>
    </row>
    <row r="861" spans="2:2" ht="15" x14ac:dyDescent="0.35">
      <c r="B861" s="26"/>
    </row>
    <row r="862" spans="2:2" ht="15" x14ac:dyDescent="0.35">
      <c r="B862" s="26"/>
    </row>
    <row r="863" spans="2:2" ht="15" x14ac:dyDescent="0.35">
      <c r="B863" s="26"/>
    </row>
    <row r="864" spans="2:2" ht="15" x14ac:dyDescent="0.35">
      <c r="B864" s="26"/>
    </row>
    <row r="865" spans="2:2" ht="15" x14ac:dyDescent="0.35">
      <c r="B865" s="26"/>
    </row>
    <row r="866" spans="2:2" ht="15" x14ac:dyDescent="0.35">
      <c r="B866" s="26"/>
    </row>
    <row r="867" spans="2:2" ht="15" x14ac:dyDescent="0.35">
      <c r="B867" s="26"/>
    </row>
    <row r="868" spans="2:2" ht="15" x14ac:dyDescent="0.35">
      <c r="B868" s="26"/>
    </row>
    <row r="869" spans="2:2" ht="15" x14ac:dyDescent="0.35">
      <c r="B869" s="26"/>
    </row>
    <row r="870" spans="2:2" ht="15" x14ac:dyDescent="0.35">
      <c r="B870" s="26"/>
    </row>
    <row r="871" spans="2:2" ht="15" x14ac:dyDescent="0.35">
      <c r="B871" s="26"/>
    </row>
    <row r="872" spans="2:2" ht="15" x14ac:dyDescent="0.35">
      <c r="B872" s="26"/>
    </row>
    <row r="873" spans="2:2" ht="15" x14ac:dyDescent="0.35">
      <c r="B873" s="26"/>
    </row>
    <row r="874" spans="2:2" ht="15" x14ac:dyDescent="0.35">
      <c r="B874" s="26"/>
    </row>
    <row r="875" spans="2:2" ht="15" x14ac:dyDescent="0.35">
      <c r="B875" s="26"/>
    </row>
    <row r="876" spans="2:2" ht="15" x14ac:dyDescent="0.35">
      <c r="B876" s="26"/>
    </row>
    <row r="877" spans="2:2" ht="15" x14ac:dyDescent="0.35">
      <c r="B877" s="26"/>
    </row>
    <row r="878" spans="2:2" ht="15" x14ac:dyDescent="0.35">
      <c r="B878" s="26"/>
    </row>
    <row r="879" spans="2:2" ht="15" x14ac:dyDescent="0.35">
      <c r="B879" s="26"/>
    </row>
    <row r="880" spans="2:2" ht="15" x14ac:dyDescent="0.35">
      <c r="B880" s="26"/>
    </row>
    <row r="881" spans="2:2" ht="15" x14ac:dyDescent="0.35">
      <c r="B881" s="26"/>
    </row>
    <row r="882" spans="2:2" ht="15" x14ac:dyDescent="0.35">
      <c r="B882" s="26"/>
    </row>
    <row r="883" spans="2:2" ht="15" x14ac:dyDescent="0.35">
      <c r="B883" s="26"/>
    </row>
    <row r="884" spans="2:2" ht="15" x14ac:dyDescent="0.35">
      <c r="B884" s="26"/>
    </row>
    <row r="885" spans="2:2" ht="15" x14ac:dyDescent="0.35">
      <c r="B885" s="26"/>
    </row>
    <row r="886" spans="2:2" ht="15" x14ac:dyDescent="0.35">
      <c r="B886" s="26"/>
    </row>
    <row r="887" spans="2:2" ht="15" x14ac:dyDescent="0.35">
      <c r="B887" s="26"/>
    </row>
    <row r="888" spans="2:2" ht="15" x14ac:dyDescent="0.35">
      <c r="B888" s="26"/>
    </row>
    <row r="889" spans="2:2" ht="15" x14ac:dyDescent="0.35">
      <c r="B889" s="26"/>
    </row>
    <row r="890" spans="2:2" ht="15" x14ac:dyDescent="0.35">
      <c r="B890" s="26"/>
    </row>
    <row r="891" spans="2:2" ht="15" x14ac:dyDescent="0.35">
      <c r="B891" s="26"/>
    </row>
    <row r="892" spans="2:2" ht="15" x14ac:dyDescent="0.35">
      <c r="B892" s="26"/>
    </row>
    <row r="893" spans="2:2" ht="15" x14ac:dyDescent="0.35">
      <c r="B893" s="26"/>
    </row>
    <row r="894" spans="2:2" ht="15" x14ac:dyDescent="0.35">
      <c r="B894" s="26"/>
    </row>
    <row r="895" spans="2:2" ht="15" x14ac:dyDescent="0.35">
      <c r="B895" s="26"/>
    </row>
    <row r="896" spans="2:2" ht="15" x14ac:dyDescent="0.35">
      <c r="B896" s="26"/>
    </row>
    <row r="897" spans="2:2" ht="15" x14ac:dyDescent="0.35">
      <c r="B897" s="26"/>
    </row>
    <row r="898" spans="2:2" ht="15" x14ac:dyDescent="0.35">
      <c r="B898" s="26"/>
    </row>
    <row r="899" spans="2:2" ht="15" x14ac:dyDescent="0.35">
      <c r="B899" s="26"/>
    </row>
    <row r="900" spans="2:2" ht="15" x14ac:dyDescent="0.35">
      <c r="B900" s="26"/>
    </row>
    <row r="901" spans="2:2" ht="15" x14ac:dyDescent="0.35">
      <c r="B901" s="26"/>
    </row>
    <row r="902" spans="2:2" ht="15" x14ac:dyDescent="0.35">
      <c r="B902" s="26"/>
    </row>
    <row r="903" spans="2:2" ht="15" x14ac:dyDescent="0.35">
      <c r="B903" s="26"/>
    </row>
    <row r="904" spans="2:2" ht="15" x14ac:dyDescent="0.35">
      <c r="B904" s="26"/>
    </row>
    <row r="905" spans="2:2" ht="15" x14ac:dyDescent="0.35">
      <c r="B905" s="26"/>
    </row>
    <row r="906" spans="2:2" ht="15" x14ac:dyDescent="0.35">
      <c r="B906" s="26"/>
    </row>
    <row r="907" spans="2:2" ht="15" x14ac:dyDescent="0.35">
      <c r="B907" s="26"/>
    </row>
    <row r="908" spans="2:2" ht="15" x14ac:dyDescent="0.35">
      <c r="B908" s="26"/>
    </row>
    <row r="909" spans="2:2" ht="15" x14ac:dyDescent="0.35">
      <c r="B909" s="26"/>
    </row>
    <row r="910" spans="2:2" ht="15" x14ac:dyDescent="0.35">
      <c r="B910" s="26"/>
    </row>
    <row r="911" spans="2:2" ht="15" x14ac:dyDescent="0.35">
      <c r="B911" s="26"/>
    </row>
    <row r="912" spans="2:2" ht="15" x14ac:dyDescent="0.35">
      <c r="B912" s="26"/>
    </row>
    <row r="913" spans="2:2" ht="15" x14ac:dyDescent="0.35">
      <c r="B913" s="26"/>
    </row>
    <row r="914" spans="2:2" ht="15" x14ac:dyDescent="0.35">
      <c r="B914" s="26"/>
    </row>
    <row r="915" spans="2:2" ht="15" x14ac:dyDescent="0.35">
      <c r="B915" s="26"/>
    </row>
    <row r="916" spans="2:2" ht="15" x14ac:dyDescent="0.35">
      <c r="B916" s="26"/>
    </row>
    <row r="917" spans="2:2" ht="15" x14ac:dyDescent="0.35">
      <c r="B917" s="26"/>
    </row>
    <row r="918" spans="2:2" ht="15" x14ac:dyDescent="0.35">
      <c r="B918" s="26"/>
    </row>
    <row r="919" spans="2:2" ht="15" x14ac:dyDescent="0.35">
      <c r="B919" s="26"/>
    </row>
    <row r="920" spans="2:2" ht="15" x14ac:dyDescent="0.35">
      <c r="B920" s="26"/>
    </row>
    <row r="921" spans="2:2" ht="15" x14ac:dyDescent="0.35">
      <c r="B921" s="26"/>
    </row>
    <row r="922" spans="2:2" ht="15" x14ac:dyDescent="0.35">
      <c r="B922" s="26"/>
    </row>
    <row r="923" spans="2:2" ht="15" x14ac:dyDescent="0.35">
      <c r="B923" s="26"/>
    </row>
    <row r="924" spans="2:2" ht="15" x14ac:dyDescent="0.35">
      <c r="B924" s="26"/>
    </row>
    <row r="925" spans="2:2" ht="15" x14ac:dyDescent="0.35">
      <c r="B925" s="26"/>
    </row>
    <row r="926" spans="2:2" ht="15" x14ac:dyDescent="0.35">
      <c r="B926" s="26"/>
    </row>
    <row r="927" spans="2:2" ht="15" x14ac:dyDescent="0.35">
      <c r="B927" s="26"/>
    </row>
    <row r="928" spans="2:2" ht="15" x14ac:dyDescent="0.35">
      <c r="B928" s="26"/>
    </row>
    <row r="929" spans="2:2" ht="15" x14ac:dyDescent="0.35">
      <c r="B929" s="26"/>
    </row>
    <row r="930" spans="2:2" ht="15" x14ac:dyDescent="0.35">
      <c r="B930" s="26"/>
    </row>
    <row r="931" spans="2:2" ht="15" x14ac:dyDescent="0.35">
      <c r="B931" s="26"/>
    </row>
    <row r="932" spans="2:2" ht="15" x14ac:dyDescent="0.35">
      <c r="B932" s="26"/>
    </row>
    <row r="933" spans="2:2" ht="15" x14ac:dyDescent="0.35">
      <c r="B933" s="26"/>
    </row>
    <row r="934" spans="2:2" ht="15" x14ac:dyDescent="0.35">
      <c r="B934" s="26"/>
    </row>
    <row r="935" spans="2:2" ht="15" x14ac:dyDescent="0.35">
      <c r="B935" s="26"/>
    </row>
    <row r="936" spans="2:2" ht="15" x14ac:dyDescent="0.35">
      <c r="B936" s="26"/>
    </row>
    <row r="937" spans="2:2" ht="15" x14ac:dyDescent="0.35">
      <c r="B937" s="26"/>
    </row>
    <row r="938" spans="2:2" ht="15" x14ac:dyDescent="0.35">
      <c r="B938" s="26"/>
    </row>
    <row r="939" spans="2:2" ht="15" x14ac:dyDescent="0.35">
      <c r="B939" s="26"/>
    </row>
    <row r="940" spans="2:2" ht="15" x14ac:dyDescent="0.35">
      <c r="B940" s="26"/>
    </row>
    <row r="941" spans="2:2" ht="15" x14ac:dyDescent="0.35">
      <c r="B941" s="26"/>
    </row>
    <row r="942" spans="2:2" ht="15" x14ac:dyDescent="0.35">
      <c r="B942" s="26"/>
    </row>
    <row r="943" spans="2:2" ht="15" x14ac:dyDescent="0.35">
      <c r="B943" s="26"/>
    </row>
    <row r="944" spans="2:2" ht="15" x14ac:dyDescent="0.35">
      <c r="B944" s="26"/>
    </row>
    <row r="945" spans="2:2" ht="15" x14ac:dyDescent="0.35">
      <c r="B945" s="26"/>
    </row>
    <row r="946" spans="2:2" ht="15" x14ac:dyDescent="0.35">
      <c r="B946" s="26"/>
    </row>
    <row r="947" spans="2:2" ht="15" x14ac:dyDescent="0.35">
      <c r="B947" s="26"/>
    </row>
    <row r="948" spans="2:2" ht="15" x14ac:dyDescent="0.35">
      <c r="B948" s="26"/>
    </row>
    <row r="949" spans="2:2" ht="15" x14ac:dyDescent="0.35">
      <c r="B949" s="26"/>
    </row>
    <row r="950" spans="2:2" ht="15" x14ac:dyDescent="0.35">
      <c r="B950" s="26"/>
    </row>
    <row r="951" spans="2:2" ht="15" x14ac:dyDescent="0.35">
      <c r="B951" s="26"/>
    </row>
    <row r="952" spans="2:2" ht="15" x14ac:dyDescent="0.35">
      <c r="B952" s="26"/>
    </row>
    <row r="953" spans="2:2" ht="15" x14ac:dyDescent="0.35">
      <c r="B953" s="26"/>
    </row>
    <row r="954" spans="2:2" ht="15" x14ac:dyDescent="0.35">
      <c r="B954" s="26"/>
    </row>
    <row r="955" spans="2:2" ht="15" x14ac:dyDescent="0.35">
      <c r="B955" s="26"/>
    </row>
    <row r="956" spans="2:2" ht="15" x14ac:dyDescent="0.35">
      <c r="B956" s="26"/>
    </row>
    <row r="957" spans="2:2" ht="15" x14ac:dyDescent="0.35">
      <c r="B957" s="26"/>
    </row>
    <row r="958" spans="2:2" ht="15" x14ac:dyDescent="0.35">
      <c r="B958" s="26"/>
    </row>
    <row r="959" spans="2:2" ht="15" x14ac:dyDescent="0.35">
      <c r="B959" s="26"/>
    </row>
    <row r="960" spans="2:2" ht="15" x14ac:dyDescent="0.35">
      <c r="B960" s="26"/>
    </row>
    <row r="961" spans="2:2" ht="15" x14ac:dyDescent="0.35">
      <c r="B961" s="26"/>
    </row>
    <row r="962" spans="2:2" ht="15" x14ac:dyDescent="0.35">
      <c r="B962" s="26"/>
    </row>
    <row r="963" spans="2:2" ht="15" x14ac:dyDescent="0.35">
      <c r="B963" s="26"/>
    </row>
    <row r="964" spans="2:2" ht="15" x14ac:dyDescent="0.35">
      <c r="B964" s="26"/>
    </row>
    <row r="965" spans="2:2" ht="15" x14ac:dyDescent="0.35">
      <c r="B965" s="26"/>
    </row>
    <row r="966" spans="2:2" ht="15" x14ac:dyDescent="0.35">
      <c r="B966" s="26"/>
    </row>
    <row r="967" spans="2:2" ht="15" x14ac:dyDescent="0.35">
      <c r="B967" s="26"/>
    </row>
    <row r="968" spans="2:2" ht="15" x14ac:dyDescent="0.35">
      <c r="B968" s="26"/>
    </row>
    <row r="969" spans="2:2" ht="15" x14ac:dyDescent="0.35">
      <c r="B969" s="26"/>
    </row>
    <row r="970" spans="2:2" ht="15" x14ac:dyDescent="0.35">
      <c r="B970" s="26"/>
    </row>
    <row r="971" spans="2:2" ht="15" x14ac:dyDescent="0.35">
      <c r="B971" s="26"/>
    </row>
    <row r="972" spans="2:2" ht="15" x14ac:dyDescent="0.35">
      <c r="B972" s="26"/>
    </row>
    <row r="973" spans="2:2" ht="15" x14ac:dyDescent="0.35">
      <c r="B973" s="26"/>
    </row>
    <row r="974" spans="2:2" ht="15" x14ac:dyDescent="0.35">
      <c r="B974" s="26"/>
    </row>
    <row r="975" spans="2:2" ht="15" x14ac:dyDescent="0.35">
      <c r="B975" s="26"/>
    </row>
    <row r="976" spans="2:2" ht="15" x14ac:dyDescent="0.35">
      <c r="B976" s="26"/>
    </row>
    <row r="977" spans="2:2" ht="15" x14ac:dyDescent="0.35">
      <c r="B977" s="26"/>
    </row>
    <row r="978" spans="2:2" ht="15" x14ac:dyDescent="0.35">
      <c r="B978" s="26"/>
    </row>
    <row r="979" spans="2:2" ht="15" x14ac:dyDescent="0.35">
      <c r="B979" s="26"/>
    </row>
    <row r="980" spans="2:2" ht="15" x14ac:dyDescent="0.35">
      <c r="B980" s="26"/>
    </row>
    <row r="981" spans="2:2" ht="15" x14ac:dyDescent="0.35">
      <c r="B981" s="26"/>
    </row>
    <row r="982" spans="2:2" ht="15" x14ac:dyDescent="0.35">
      <c r="B982" s="26"/>
    </row>
    <row r="983" spans="2:2" ht="15" x14ac:dyDescent="0.35">
      <c r="B983" s="26"/>
    </row>
    <row r="984" spans="2:2" ht="15" x14ac:dyDescent="0.35">
      <c r="B984" s="26"/>
    </row>
    <row r="985" spans="2:2" ht="15" x14ac:dyDescent="0.35">
      <c r="B985" s="26"/>
    </row>
    <row r="986" spans="2:2" ht="15" x14ac:dyDescent="0.35">
      <c r="B986" s="26"/>
    </row>
    <row r="987" spans="2:2" ht="15" x14ac:dyDescent="0.35">
      <c r="B987" s="26"/>
    </row>
    <row r="988" spans="2:2" ht="15" x14ac:dyDescent="0.35">
      <c r="B988" s="26"/>
    </row>
    <row r="989" spans="2:2" ht="15" x14ac:dyDescent="0.35">
      <c r="B989" s="26"/>
    </row>
    <row r="990" spans="2:2" ht="15" x14ac:dyDescent="0.35">
      <c r="B990" s="26"/>
    </row>
    <row r="991" spans="2:2" ht="15" x14ac:dyDescent="0.35">
      <c r="B991" s="26"/>
    </row>
    <row r="992" spans="2:2" ht="15" x14ac:dyDescent="0.35">
      <c r="B992" s="26"/>
    </row>
    <row r="993" spans="2:2" ht="15" x14ac:dyDescent="0.35">
      <c r="B993" s="26"/>
    </row>
    <row r="994" spans="2:2" ht="15" x14ac:dyDescent="0.35">
      <c r="B994" s="26"/>
    </row>
    <row r="995" spans="2:2" ht="15" x14ac:dyDescent="0.35">
      <c r="B995" s="26"/>
    </row>
    <row r="996" spans="2:2" ht="15" x14ac:dyDescent="0.35">
      <c r="B996" s="26"/>
    </row>
    <row r="997" spans="2:2" ht="15" x14ac:dyDescent="0.35">
      <c r="B997" s="26"/>
    </row>
    <row r="998" spans="2:2" ht="15" x14ac:dyDescent="0.35">
      <c r="B998" s="26"/>
    </row>
  </sheetData>
  <mergeCells count="41">
    <mergeCell ref="A1:L1"/>
    <mergeCell ref="C3:F3"/>
    <mergeCell ref="C4:L4"/>
    <mergeCell ref="C5:L5"/>
    <mergeCell ref="C7:L7"/>
    <mergeCell ref="C8:L8"/>
    <mergeCell ref="C9:L9"/>
    <mergeCell ref="C10:L10"/>
    <mergeCell ref="C11:L11"/>
    <mergeCell ref="C12:L12"/>
    <mergeCell ref="D13:F13"/>
    <mergeCell ref="E14:F14"/>
    <mergeCell ref="G14:H14"/>
    <mergeCell ref="G15:H15"/>
    <mergeCell ref="E15:F15"/>
    <mergeCell ref="E16:F16"/>
    <mergeCell ref="G16:H16"/>
    <mergeCell ref="E17:F17"/>
    <mergeCell ref="G17:H17"/>
    <mergeCell ref="D18:E18"/>
    <mergeCell ref="C23:K23"/>
    <mergeCell ref="C24:K24"/>
    <mergeCell ref="C25:I25"/>
    <mergeCell ref="C26:K26"/>
    <mergeCell ref="C27:L27"/>
    <mergeCell ref="C28:K28"/>
    <mergeCell ref="C29:L29"/>
    <mergeCell ref="C30:L30"/>
    <mergeCell ref="C40:L40"/>
    <mergeCell ref="C41:L41"/>
    <mergeCell ref="C46:L46"/>
    <mergeCell ref="C47:L47"/>
    <mergeCell ref="C48:L48"/>
    <mergeCell ref="C49:L49"/>
    <mergeCell ref="C31:L31"/>
    <mergeCell ref="C32:L32"/>
    <mergeCell ref="C33:L33"/>
    <mergeCell ref="C34:E34"/>
    <mergeCell ref="C36:L36"/>
    <mergeCell ref="C37:L37"/>
    <mergeCell ref="C38:L38"/>
  </mergeCells>
  <printOptions horizontalCentered="1"/>
  <pageMargins left="0.25" right="0.25" top="0.75" bottom="0.75" header="0" footer="0"/>
  <pageSetup paperSize="9"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C822-4BAC-44CB-8E1B-6C3A4A69C48F}">
  <dimension ref="A1:L140"/>
  <sheetViews>
    <sheetView tabSelected="1" workbookViewId="0"/>
  </sheetViews>
  <sheetFormatPr defaultRowHeight="12.75" x14ac:dyDescent="0.2"/>
  <cols>
    <col min="1" max="1" width="5.5703125" style="239" customWidth="1"/>
    <col min="2" max="2" width="11.42578125" style="239" customWidth="1"/>
    <col min="3" max="3" width="54" customWidth="1"/>
    <col min="4" max="4" width="11.28515625" customWidth="1"/>
    <col min="5" max="5" width="14.140625" customWidth="1"/>
    <col min="6" max="6" width="17.7109375" customWidth="1"/>
    <col min="7" max="7" width="14.140625" customWidth="1"/>
    <col min="8" max="12" width="13.7109375" customWidth="1"/>
  </cols>
  <sheetData>
    <row r="1" spans="1:12" ht="21.75" customHeight="1" x14ac:dyDescent="0.2">
      <c r="A1" s="240"/>
      <c r="B1" s="257" t="s">
        <v>438</v>
      </c>
      <c r="C1" s="20" t="s">
        <v>439</v>
      </c>
      <c r="D1" s="27" t="s">
        <v>440</v>
      </c>
      <c r="E1" s="27" t="s">
        <v>441</v>
      </c>
      <c r="F1" s="256" t="s">
        <v>442</v>
      </c>
      <c r="G1" s="256" t="s">
        <v>443</v>
      </c>
      <c r="H1" s="149" t="s">
        <v>435</v>
      </c>
      <c r="I1" s="12" t="s">
        <v>436</v>
      </c>
      <c r="J1" s="12" t="s">
        <v>437</v>
      </c>
      <c r="K1" s="12" t="s">
        <v>434</v>
      </c>
      <c r="L1" s="12"/>
    </row>
    <row r="2" spans="1:12" ht="40.5" customHeight="1" x14ac:dyDescent="0.2">
      <c r="A2" s="241"/>
      <c r="B2" s="202" t="s">
        <v>117</v>
      </c>
      <c r="C2" s="46" t="s">
        <v>54</v>
      </c>
      <c r="D2" s="45" t="s">
        <v>55</v>
      </c>
      <c r="E2" s="161" t="s">
        <v>56</v>
      </c>
      <c r="F2" s="162" t="s">
        <v>118</v>
      </c>
      <c r="G2" s="47">
        <v>76</v>
      </c>
      <c r="H2" s="179"/>
      <c r="I2" s="47"/>
      <c r="J2" s="47"/>
      <c r="K2" s="47"/>
      <c r="L2" s="47"/>
    </row>
    <row r="3" spans="1:12" ht="40.5" customHeight="1" x14ac:dyDescent="0.2">
      <c r="A3" s="241" t="s">
        <v>119</v>
      </c>
      <c r="B3" s="202" t="s">
        <v>120</v>
      </c>
      <c r="C3" s="46" t="s">
        <v>57</v>
      </c>
      <c r="D3" s="45" t="s">
        <v>55</v>
      </c>
      <c r="E3" s="161" t="s">
        <v>56</v>
      </c>
      <c r="F3" s="162" t="s">
        <v>118</v>
      </c>
      <c r="G3" s="50">
        <v>61</v>
      </c>
      <c r="H3" s="48"/>
      <c r="I3" s="49"/>
      <c r="J3" s="49"/>
      <c r="K3" s="49"/>
      <c r="L3" s="49"/>
    </row>
    <row r="4" spans="1:12" ht="40.5" customHeight="1" x14ac:dyDescent="0.2">
      <c r="A4" s="242" t="s">
        <v>121</v>
      </c>
      <c r="B4" s="203" t="s">
        <v>122</v>
      </c>
      <c r="C4" s="52" t="s">
        <v>58</v>
      </c>
      <c r="D4" s="51" t="s">
        <v>55</v>
      </c>
      <c r="E4" s="163" t="s">
        <v>56</v>
      </c>
      <c r="F4" s="164" t="s">
        <v>118</v>
      </c>
      <c r="G4" s="53">
        <v>27</v>
      </c>
      <c r="H4" s="48"/>
      <c r="I4" s="49"/>
      <c r="J4" s="49"/>
      <c r="K4" s="49"/>
      <c r="L4" s="49"/>
    </row>
    <row r="5" spans="1:12" ht="40.5" customHeight="1" x14ac:dyDescent="0.2">
      <c r="A5" s="242" t="s">
        <v>123</v>
      </c>
      <c r="B5" s="203" t="s">
        <v>124</v>
      </c>
      <c r="C5" s="52" t="s">
        <v>59</v>
      </c>
      <c r="D5" s="51" t="s">
        <v>55</v>
      </c>
      <c r="E5" s="163" t="s">
        <v>56</v>
      </c>
      <c r="F5" s="164" t="s">
        <v>118</v>
      </c>
      <c r="G5" s="34"/>
      <c r="H5" s="48"/>
      <c r="I5" s="49"/>
      <c r="J5" s="49"/>
      <c r="K5" s="49"/>
      <c r="L5" s="49"/>
    </row>
    <row r="6" spans="1:12" ht="20.25" customHeight="1" x14ac:dyDescent="0.2">
      <c r="A6" s="243" t="s">
        <v>125</v>
      </c>
      <c r="B6" s="204" t="s">
        <v>126</v>
      </c>
      <c r="C6" s="55" t="s">
        <v>60</v>
      </c>
      <c r="D6" s="54"/>
      <c r="E6" s="30"/>
      <c r="F6" s="30"/>
      <c r="G6" s="30"/>
      <c r="H6" s="30"/>
      <c r="I6" s="30"/>
      <c r="J6" s="30"/>
      <c r="K6" s="30"/>
      <c r="L6" s="56"/>
    </row>
    <row r="7" spans="1:12" ht="20.25" customHeight="1" x14ac:dyDescent="0.2">
      <c r="A7" s="268" t="s">
        <v>127</v>
      </c>
      <c r="B7" s="205" t="s">
        <v>128</v>
      </c>
      <c r="C7" s="58" t="s">
        <v>129</v>
      </c>
      <c r="D7" s="57"/>
      <c r="E7" s="31"/>
      <c r="F7" s="31"/>
      <c r="G7" s="32"/>
      <c r="H7" s="31"/>
      <c r="I7" s="31"/>
      <c r="J7" s="31"/>
      <c r="K7" s="31"/>
      <c r="L7" s="59"/>
    </row>
    <row r="8" spans="1:12" ht="21.75" x14ac:dyDescent="0.2">
      <c r="A8" s="269"/>
      <c r="B8" s="206" t="s">
        <v>130</v>
      </c>
      <c r="C8" s="61" t="s">
        <v>131</v>
      </c>
      <c r="D8" s="60" t="s">
        <v>55</v>
      </c>
      <c r="E8" s="271" t="s">
        <v>410</v>
      </c>
      <c r="F8" s="271" t="s">
        <v>61</v>
      </c>
      <c r="G8" s="32"/>
      <c r="H8" s="60"/>
      <c r="I8" s="57"/>
      <c r="J8" s="57"/>
      <c r="K8" s="57"/>
      <c r="L8" s="59"/>
    </row>
    <row r="9" spans="1:12" ht="21.75" x14ac:dyDescent="0.2">
      <c r="A9" s="270"/>
      <c r="B9" s="206" t="s">
        <v>132</v>
      </c>
      <c r="C9" s="61" t="s">
        <v>133</v>
      </c>
      <c r="D9" s="60" t="s">
        <v>55</v>
      </c>
      <c r="E9" s="272"/>
      <c r="F9" s="272"/>
      <c r="G9" s="32"/>
      <c r="H9" s="60"/>
      <c r="I9" s="57"/>
      <c r="J9" s="57"/>
      <c r="K9" s="57"/>
      <c r="L9" s="59"/>
    </row>
    <row r="10" spans="1:12" ht="21.75" x14ac:dyDescent="0.2">
      <c r="A10" s="244" t="s">
        <v>134</v>
      </c>
      <c r="B10" s="207" t="s">
        <v>135</v>
      </c>
      <c r="C10" s="63" t="s">
        <v>136</v>
      </c>
      <c r="D10" s="62" t="s">
        <v>68</v>
      </c>
      <c r="E10" s="273"/>
      <c r="F10" s="273"/>
      <c r="G10" s="33"/>
      <c r="H10" s="44"/>
      <c r="I10" s="44"/>
      <c r="J10" s="44"/>
      <c r="K10" s="44"/>
      <c r="L10" s="64"/>
    </row>
    <row r="11" spans="1:12" ht="62.25" customHeight="1" x14ac:dyDescent="0.2">
      <c r="A11" s="245" t="s">
        <v>137</v>
      </c>
      <c r="B11" s="208" t="s">
        <v>138</v>
      </c>
      <c r="C11" s="150" t="s">
        <v>392</v>
      </c>
      <c r="D11" s="65" t="s">
        <v>62</v>
      </c>
      <c r="E11" s="165" t="s">
        <v>410</v>
      </c>
      <c r="F11" s="165" t="s">
        <v>61</v>
      </c>
      <c r="G11" s="29"/>
      <c r="H11" s="65"/>
      <c r="I11" s="65"/>
      <c r="J11" s="65"/>
      <c r="K11" s="65"/>
      <c r="L11" s="66"/>
    </row>
    <row r="12" spans="1:12" ht="21.75" x14ac:dyDescent="0.2">
      <c r="A12" s="246" t="s">
        <v>139</v>
      </c>
      <c r="B12" s="209" t="s">
        <v>140</v>
      </c>
      <c r="C12" s="68" t="s">
        <v>63</v>
      </c>
      <c r="D12" s="67" t="s">
        <v>64</v>
      </c>
      <c r="E12" s="166" t="s">
        <v>56</v>
      </c>
      <c r="F12" s="166" t="s">
        <v>65</v>
      </c>
      <c r="G12" s="29"/>
      <c r="H12" s="34"/>
      <c r="I12" s="34"/>
      <c r="J12" s="34"/>
      <c r="K12" s="34"/>
      <c r="L12" s="34"/>
    </row>
    <row r="13" spans="1:12" ht="39" customHeight="1" x14ac:dyDescent="0.2">
      <c r="A13" s="242" t="s">
        <v>141</v>
      </c>
      <c r="B13" s="202" t="s">
        <v>142</v>
      </c>
      <c r="C13" s="52" t="s">
        <v>66</v>
      </c>
      <c r="D13" s="45" t="s">
        <v>55</v>
      </c>
      <c r="E13" s="163" t="s">
        <v>56</v>
      </c>
      <c r="F13" s="162" t="s">
        <v>118</v>
      </c>
      <c r="G13" s="34"/>
      <c r="H13" s="29"/>
      <c r="I13" s="45"/>
      <c r="J13" s="45"/>
      <c r="K13" s="45"/>
      <c r="L13" s="45"/>
    </row>
    <row r="14" spans="1:12" ht="39" customHeight="1" x14ac:dyDescent="0.2">
      <c r="A14" s="242" t="s">
        <v>143</v>
      </c>
      <c r="B14" s="203" t="s">
        <v>144</v>
      </c>
      <c r="C14" s="52" t="s">
        <v>67</v>
      </c>
      <c r="D14" s="45" t="s">
        <v>55</v>
      </c>
      <c r="E14" s="163" t="s">
        <v>56</v>
      </c>
      <c r="F14" s="162" t="s">
        <v>118</v>
      </c>
      <c r="G14" s="34"/>
      <c r="H14" s="29"/>
      <c r="I14" s="45"/>
      <c r="J14" s="45"/>
      <c r="K14" s="45"/>
      <c r="L14" s="45"/>
    </row>
    <row r="15" spans="1:12" ht="21.75" x14ac:dyDescent="0.2">
      <c r="A15" s="274" t="s">
        <v>145</v>
      </c>
      <c r="B15" s="210" t="s">
        <v>146</v>
      </c>
      <c r="C15" s="175" t="s">
        <v>147</v>
      </c>
      <c r="D15" s="174" t="s">
        <v>68</v>
      </c>
      <c r="E15" s="276" t="s">
        <v>410</v>
      </c>
      <c r="F15" s="279" t="s">
        <v>118</v>
      </c>
      <c r="G15" s="35"/>
      <c r="H15" s="35"/>
      <c r="I15" s="35"/>
      <c r="J15" s="35"/>
      <c r="K15" s="35"/>
      <c r="L15" s="35"/>
    </row>
    <row r="16" spans="1:12" ht="21.75" x14ac:dyDescent="0.2">
      <c r="A16" s="269"/>
      <c r="B16" s="211" t="s">
        <v>148</v>
      </c>
      <c r="C16" s="71" t="s">
        <v>149</v>
      </c>
      <c r="D16" s="72" t="s">
        <v>68</v>
      </c>
      <c r="E16" s="277"/>
      <c r="F16" s="277"/>
      <c r="G16" s="151">
        <v>16000000</v>
      </c>
      <c r="H16" s="152"/>
      <c r="I16" s="152"/>
      <c r="J16" s="152"/>
      <c r="K16" s="152"/>
      <c r="L16" s="31"/>
    </row>
    <row r="17" spans="1:12" ht="21.75" customHeight="1" x14ac:dyDescent="0.2">
      <c r="A17" s="269"/>
      <c r="B17" s="211" t="s">
        <v>150</v>
      </c>
      <c r="C17" s="188" t="s">
        <v>151</v>
      </c>
      <c r="D17" s="72" t="s">
        <v>68</v>
      </c>
      <c r="E17" s="277"/>
      <c r="F17" s="277"/>
      <c r="G17" s="151">
        <v>1800000</v>
      </c>
      <c r="H17" s="152"/>
      <c r="I17" s="152"/>
      <c r="J17" s="152"/>
      <c r="K17" s="152"/>
      <c r="L17" s="31"/>
    </row>
    <row r="18" spans="1:12" ht="21.75" x14ac:dyDescent="0.2">
      <c r="A18" s="269"/>
      <c r="B18" s="211" t="s">
        <v>152</v>
      </c>
      <c r="C18" s="71" t="s">
        <v>153</v>
      </c>
      <c r="D18" s="72" t="s">
        <v>68</v>
      </c>
      <c r="E18" s="277"/>
      <c r="F18" s="277"/>
      <c r="G18" s="151">
        <v>15000000</v>
      </c>
      <c r="H18" s="152"/>
      <c r="I18" s="152"/>
      <c r="J18" s="152"/>
      <c r="K18" s="152"/>
      <c r="L18" s="31"/>
    </row>
    <row r="19" spans="1:12" ht="21.75" x14ac:dyDescent="0.2">
      <c r="A19" s="269"/>
      <c r="B19" s="212" t="s">
        <v>154</v>
      </c>
      <c r="C19" s="74" t="s">
        <v>155</v>
      </c>
      <c r="D19" s="72" t="s">
        <v>68</v>
      </c>
      <c r="E19" s="277"/>
      <c r="F19" s="277"/>
      <c r="G19" s="152">
        <v>8000000</v>
      </c>
      <c r="H19" s="152"/>
      <c r="I19" s="152"/>
      <c r="J19" s="152"/>
      <c r="K19" s="152"/>
      <c r="L19" s="31"/>
    </row>
    <row r="20" spans="1:12" ht="21.75" x14ac:dyDescent="0.2">
      <c r="A20" s="275"/>
      <c r="B20" s="213" t="s">
        <v>156</v>
      </c>
      <c r="C20" s="177" t="s">
        <v>157</v>
      </c>
      <c r="D20" s="176" t="s">
        <v>68</v>
      </c>
      <c r="E20" s="278"/>
      <c r="F20" s="278"/>
      <c r="G20" s="178">
        <v>1200000</v>
      </c>
      <c r="H20" s="178"/>
      <c r="I20" s="178"/>
      <c r="J20" s="178"/>
      <c r="K20" s="178"/>
      <c r="L20" s="44"/>
    </row>
    <row r="21" spans="1:12" ht="32.25" customHeight="1" x14ac:dyDescent="0.2">
      <c r="A21" s="296" t="s">
        <v>69</v>
      </c>
      <c r="B21" s="297"/>
      <c r="C21" s="297"/>
      <c r="D21" s="297"/>
      <c r="E21" s="297"/>
      <c r="F21" s="297"/>
      <c r="G21" s="297"/>
      <c r="H21" s="297"/>
      <c r="I21" s="297"/>
      <c r="J21" s="297"/>
      <c r="K21" s="297"/>
      <c r="L21" s="298"/>
    </row>
    <row r="22" spans="1:12" ht="65.25" x14ac:dyDescent="0.2">
      <c r="A22" s="280" t="s">
        <v>158</v>
      </c>
      <c r="B22" s="214" t="s">
        <v>159</v>
      </c>
      <c r="C22" s="181" t="s">
        <v>411</v>
      </c>
      <c r="D22" s="76" t="s">
        <v>70</v>
      </c>
      <c r="E22" s="281" t="s">
        <v>410</v>
      </c>
      <c r="F22" s="281" t="s">
        <v>71</v>
      </c>
      <c r="G22" s="35"/>
      <c r="H22" s="35"/>
      <c r="I22" s="35"/>
      <c r="J22" s="35"/>
      <c r="K22" s="35"/>
      <c r="L22" s="78"/>
    </row>
    <row r="23" spans="1:12" ht="21.75" x14ac:dyDescent="0.2">
      <c r="A23" s="269"/>
      <c r="B23" s="205" t="s">
        <v>160</v>
      </c>
      <c r="C23" s="58" t="s">
        <v>161</v>
      </c>
      <c r="D23" s="57" t="s">
        <v>70</v>
      </c>
      <c r="E23" s="277"/>
      <c r="F23" s="277"/>
      <c r="G23" s="79">
        <v>3</v>
      </c>
      <c r="H23" s="57"/>
      <c r="I23" s="57"/>
      <c r="J23" s="57"/>
      <c r="K23" s="57"/>
      <c r="L23" s="59"/>
    </row>
    <row r="24" spans="1:12" ht="21.75" x14ac:dyDescent="0.2">
      <c r="A24" s="275"/>
      <c r="B24" s="215" t="s">
        <v>162</v>
      </c>
      <c r="C24" s="81" t="s">
        <v>163</v>
      </c>
      <c r="D24" s="80" t="s">
        <v>70</v>
      </c>
      <c r="E24" s="278"/>
      <c r="F24" s="278"/>
      <c r="G24" s="82">
        <v>2</v>
      </c>
      <c r="H24" s="80"/>
      <c r="I24" s="80"/>
      <c r="J24" s="80"/>
      <c r="K24" s="80"/>
      <c r="L24" s="64"/>
    </row>
    <row r="25" spans="1:12" ht="43.5" x14ac:dyDescent="0.2">
      <c r="A25" s="243" t="s">
        <v>164</v>
      </c>
      <c r="B25" s="204" t="s">
        <v>165</v>
      </c>
      <c r="C25" s="183" t="s">
        <v>72</v>
      </c>
      <c r="D25" s="54" t="s">
        <v>73</v>
      </c>
      <c r="E25" s="282" t="s">
        <v>410</v>
      </c>
      <c r="F25" s="282" t="s">
        <v>74</v>
      </c>
      <c r="G25" s="83">
        <v>0.31</v>
      </c>
      <c r="H25" s="54"/>
      <c r="I25" s="54"/>
      <c r="J25" s="54"/>
      <c r="K25" s="54"/>
      <c r="L25" s="30"/>
    </row>
    <row r="26" spans="1:12" ht="43.5" x14ac:dyDescent="0.2">
      <c r="A26" s="268" t="s">
        <v>166</v>
      </c>
      <c r="B26" s="205" t="s">
        <v>167</v>
      </c>
      <c r="C26" s="155" t="s">
        <v>412</v>
      </c>
      <c r="D26" s="57" t="s">
        <v>73</v>
      </c>
      <c r="E26" s="277"/>
      <c r="F26" s="277"/>
      <c r="G26" s="84">
        <v>1.27</v>
      </c>
      <c r="H26" s="57"/>
      <c r="I26" s="57"/>
      <c r="J26" s="57"/>
      <c r="K26" s="57"/>
      <c r="L26" s="31"/>
    </row>
    <row r="27" spans="1:12" ht="43.5" x14ac:dyDescent="0.2">
      <c r="A27" s="269"/>
      <c r="B27" s="205" t="s">
        <v>168</v>
      </c>
      <c r="C27" s="155" t="s">
        <v>169</v>
      </c>
      <c r="D27" s="57" t="s">
        <v>75</v>
      </c>
      <c r="E27" s="277"/>
      <c r="F27" s="277"/>
      <c r="G27" s="79">
        <v>1</v>
      </c>
      <c r="H27" s="57"/>
      <c r="I27" s="57"/>
      <c r="J27" s="57"/>
      <c r="K27" s="57"/>
      <c r="L27" s="31"/>
    </row>
    <row r="28" spans="1:12" ht="21.75" x14ac:dyDescent="0.2">
      <c r="A28" s="269"/>
      <c r="B28" s="205" t="s">
        <v>170</v>
      </c>
      <c r="C28" s="155" t="s">
        <v>171</v>
      </c>
      <c r="D28" s="32"/>
      <c r="E28" s="277"/>
      <c r="F28" s="277"/>
      <c r="G28" s="32"/>
      <c r="H28" s="32"/>
      <c r="I28" s="31"/>
      <c r="J28" s="31"/>
      <c r="K28" s="31"/>
      <c r="L28" s="31"/>
    </row>
    <row r="29" spans="1:12" ht="43.5" x14ac:dyDescent="0.2">
      <c r="A29" s="269"/>
      <c r="B29" s="216" t="s">
        <v>172</v>
      </c>
      <c r="C29" s="191" t="s">
        <v>169</v>
      </c>
      <c r="D29" s="85" t="s">
        <v>75</v>
      </c>
      <c r="E29" s="277"/>
      <c r="F29" s="277"/>
      <c r="G29" s="87">
        <v>1</v>
      </c>
      <c r="H29" s="85"/>
      <c r="I29" s="85"/>
      <c r="J29" s="85"/>
      <c r="K29" s="85"/>
      <c r="L29" s="31"/>
    </row>
    <row r="30" spans="1:12" ht="21.75" x14ac:dyDescent="0.2">
      <c r="A30" s="269"/>
      <c r="B30" s="205" t="s">
        <v>173</v>
      </c>
      <c r="C30" s="155" t="s">
        <v>174</v>
      </c>
      <c r="D30" s="32"/>
      <c r="E30" s="277"/>
      <c r="F30" s="277"/>
      <c r="G30" s="32"/>
      <c r="H30" s="32"/>
      <c r="I30" s="31"/>
      <c r="J30" s="31"/>
      <c r="K30" s="31"/>
      <c r="L30" s="31"/>
    </row>
    <row r="31" spans="1:12" ht="43.5" x14ac:dyDescent="0.2">
      <c r="A31" s="270"/>
      <c r="B31" s="216" t="s">
        <v>175</v>
      </c>
      <c r="C31" s="191" t="s">
        <v>169</v>
      </c>
      <c r="D31" s="85" t="s">
        <v>75</v>
      </c>
      <c r="E31" s="277"/>
      <c r="F31" s="277"/>
      <c r="G31" s="87">
        <v>0</v>
      </c>
      <c r="H31" s="85"/>
      <c r="I31" s="85"/>
      <c r="J31" s="85"/>
      <c r="K31" s="85"/>
      <c r="L31" s="31"/>
    </row>
    <row r="32" spans="1:12" ht="43.5" x14ac:dyDescent="0.2">
      <c r="A32" s="268" t="s">
        <v>176</v>
      </c>
      <c r="B32" s="205" t="s">
        <v>177</v>
      </c>
      <c r="C32" s="155" t="s">
        <v>433</v>
      </c>
      <c r="D32" s="57" t="s">
        <v>73</v>
      </c>
      <c r="E32" s="277"/>
      <c r="F32" s="277"/>
      <c r="G32" s="84" t="s">
        <v>383</v>
      </c>
      <c r="H32" s="57"/>
      <c r="I32" s="57"/>
      <c r="J32" s="57"/>
      <c r="K32" s="57"/>
      <c r="L32" s="31"/>
    </row>
    <row r="33" spans="1:12" ht="43.5" x14ac:dyDescent="0.2">
      <c r="A33" s="269"/>
      <c r="B33" s="205" t="s">
        <v>178</v>
      </c>
      <c r="C33" s="155" t="s">
        <v>179</v>
      </c>
      <c r="D33" s="57" t="s">
        <v>75</v>
      </c>
      <c r="E33" s="277"/>
      <c r="F33" s="277"/>
      <c r="G33" s="88" t="s">
        <v>64</v>
      </c>
      <c r="H33" s="57"/>
      <c r="I33" s="57"/>
      <c r="J33" s="57"/>
      <c r="K33" s="57"/>
      <c r="L33" s="31"/>
    </row>
    <row r="34" spans="1:12" ht="43.5" x14ac:dyDescent="0.2">
      <c r="A34" s="269"/>
      <c r="B34" s="205" t="s">
        <v>180</v>
      </c>
      <c r="C34" s="155" t="s">
        <v>181</v>
      </c>
      <c r="D34" s="57" t="s">
        <v>75</v>
      </c>
      <c r="E34" s="277"/>
      <c r="F34" s="277"/>
      <c r="G34" s="88" t="s">
        <v>64</v>
      </c>
      <c r="H34" s="57"/>
      <c r="I34" s="57"/>
      <c r="J34" s="57"/>
      <c r="K34" s="57"/>
      <c r="L34" s="31"/>
    </row>
    <row r="35" spans="1:12" ht="21.75" x14ac:dyDescent="0.2">
      <c r="A35" s="269"/>
      <c r="B35" s="205" t="s">
        <v>182</v>
      </c>
      <c r="C35" s="155" t="s">
        <v>171</v>
      </c>
      <c r="D35" s="32"/>
      <c r="E35" s="277"/>
      <c r="F35" s="277"/>
      <c r="G35" s="32"/>
      <c r="H35" s="32"/>
      <c r="I35" s="31"/>
      <c r="J35" s="31"/>
      <c r="K35" s="31"/>
      <c r="L35" s="31"/>
    </row>
    <row r="36" spans="1:12" ht="43.5" x14ac:dyDescent="0.2">
      <c r="A36" s="269"/>
      <c r="B36" s="216" t="s">
        <v>183</v>
      </c>
      <c r="C36" s="191" t="s">
        <v>179</v>
      </c>
      <c r="D36" s="85" t="s">
        <v>75</v>
      </c>
      <c r="E36" s="277"/>
      <c r="F36" s="277"/>
      <c r="G36" s="87" t="s">
        <v>64</v>
      </c>
      <c r="H36" s="85"/>
      <c r="I36" s="85"/>
      <c r="J36" s="85"/>
      <c r="K36" s="85"/>
      <c r="L36" s="31"/>
    </row>
    <row r="37" spans="1:12" ht="43.5" x14ac:dyDescent="0.2">
      <c r="A37" s="269"/>
      <c r="B37" s="216" t="s">
        <v>184</v>
      </c>
      <c r="C37" s="191" t="s">
        <v>181</v>
      </c>
      <c r="D37" s="85" t="s">
        <v>75</v>
      </c>
      <c r="E37" s="277"/>
      <c r="F37" s="277"/>
      <c r="G37" s="87" t="s">
        <v>64</v>
      </c>
      <c r="H37" s="85"/>
      <c r="I37" s="85"/>
      <c r="J37" s="85"/>
      <c r="K37" s="85"/>
      <c r="L37" s="31"/>
    </row>
    <row r="38" spans="1:12" ht="21.75" x14ac:dyDescent="0.2">
      <c r="A38" s="269"/>
      <c r="B38" s="205" t="s">
        <v>185</v>
      </c>
      <c r="C38" s="155" t="s">
        <v>186</v>
      </c>
      <c r="D38" s="32"/>
      <c r="E38" s="277"/>
      <c r="F38" s="277"/>
      <c r="G38" s="32"/>
      <c r="H38" s="32"/>
      <c r="I38" s="32"/>
      <c r="J38" s="32"/>
      <c r="K38" s="32"/>
      <c r="L38" s="31"/>
    </row>
    <row r="39" spans="1:12" ht="43.5" x14ac:dyDescent="0.2">
      <c r="A39" s="269"/>
      <c r="B39" s="216" t="s">
        <v>187</v>
      </c>
      <c r="C39" s="191" t="s">
        <v>179</v>
      </c>
      <c r="D39" s="85" t="s">
        <v>75</v>
      </c>
      <c r="E39" s="277"/>
      <c r="F39" s="277"/>
      <c r="G39" s="87" t="s">
        <v>64</v>
      </c>
      <c r="H39" s="85"/>
      <c r="I39" s="85"/>
      <c r="J39" s="85"/>
      <c r="K39" s="85"/>
      <c r="L39" s="31"/>
    </row>
    <row r="40" spans="1:12" ht="43.5" x14ac:dyDescent="0.2">
      <c r="A40" s="275"/>
      <c r="B40" s="217" t="s">
        <v>188</v>
      </c>
      <c r="C40" s="255" t="s">
        <v>181</v>
      </c>
      <c r="D40" s="89" t="s">
        <v>75</v>
      </c>
      <c r="E40" s="278"/>
      <c r="F40" s="278"/>
      <c r="G40" s="91" t="s">
        <v>64</v>
      </c>
      <c r="H40" s="89"/>
      <c r="I40" s="89"/>
      <c r="J40" s="89"/>
      <c r="K40" s="89"/>
      <c r="L40" s="44"/>
    </row>
    <row r="41" spans="1:12" ht="65.25" x14ac:dyDescent="0.2">
      <c r="A41" s="283" t="s">
        <v>189</v>
      </c>
      <c r="B41" s="204" t="s">
        <v>190</v>
      </c>
      <c r="C41" s="183" t="s">
        <v>416</v>
      </c>
      <c r="D41" s="54" t="s">
        <v>73</v>
      </c>
      <c r="E41" s="284" t="s">
        <v>410</v>
      </c>
      <c r="F41" s="284" t="s">
        <v>74</v>
      </c>
      <c r="G41" s="83">
        <v>3.85</v>
      </c>
      <c r="H41" s="54"/>
      <c r="I41" s="54"/>
      <c r="J41" s="54"/>
      <c r="K41" s="54"/>
      <c r="L41" s="30"/>
    </row>
    <row r="42" spans="1:12" ht="21.75" x14ac:dyDescent="0.2">
      <c r="A42" s="275"/>
      <c r="B42" s="218" t="s">
        <v>191</v>
      </c>
      <c r="C42" s="90" t="s">
        <v>192</v>
      </c>
      <c r="D42" s="89" t="s">
        <v>75</v>
      </c>
      <c r="E42" s="273"/>
      <c r="F42" s="273"/>
      <c r="G42" s="91">
        <v>1</v>
      </c>
      <c r="H42" s="89"/>
      <c r="I42" s="89"/>
      <c r="J42" s="89"/>
      <c r="K42" s="89"/>
      <c r="L42" s="44"/>
    </row>
    <row r="43" spans="1:12" ht="65.25" x14ac:dyDescent="0.2">
      <c r="A43" s="246" t="s">
        <v>193</v>
      </c>
      <c r="B43" s="219" t="s">
        <v>194</v>
      </c>
      <c r="C43" s="184" t="s">
        <v>415</v>
      </c>
      <c r="D43" s="92" t="s">
        <v>75</v>
      </c>
      <c r="E43" s="167" t="s">
        <v>410</v>
      </c>
      <c r="F43" s="168" t="s">
        <v>76</v>
      </c>
      <c r="G43" s="36"/>
      <c r="H43" s="36"/>
      <c r="I43" s="36"/>
      <c r="J43" s="36"/>
      <c r="K43" s="36"/>
      <c r="L43" s="36"/>
    </row>
    <row r="44" spans="1:12" ht="43.5" x14ac:dyDescent="0.2">
      <c r="A44" s="280" t="s">
        <v>195</v>
      </c>
      <c r="B44" s="214" t="s">
        <v>196</v>
      </c>
      <c r="C44" s="181" t="s">
        <v>414</v>
      </c>
      <c r="D44" s="76" t="s">
        <v>73</v>
      </c>
      <c r="E44" s="285" t="s">
        <v>77</v>
      </c>
      <c r="F44" s="285" t="s">
        <v>86</v>
      </c>
      <c r="G44" s="35"/>
      <c r="H44" s="35"/>
      <c r="I44" s="35"/>
      <c r="J44" s="35"/>
      <c r="K44" s="93"/>
      <c r="L44" s="35"/>
    </row>
    <row r="45" spans="1:12" ht="21.75" x14ac:dyDescent="0.2">
      <c r="A45" s="269"/>
      <c r="B45" s="216" t="s">
        <v>197</v>
      </c>
      <c r="C45" s="86" t="s">
        <v>198</v>
      </c>
      <c r="D45" s="85" t="s">
        <v>70</v>
      </c>
      <c r="E45" s="272"/>
      <c r="F45" s="272"/>
      <c r="G45" s="32"/>
      <c r="H45" s="32"/>
      <c r="I45" s="31"/>
      <c r="J45" s="31"/>
      <c r="K45" s="85"/>
      <c r="L45" s="31"/>
    </row>
    <row r="46" spans="1:12" ht="21.75" x14ac:dyDescent="0.2">
      <c r="A46" s="275"/>
      <c r="B46" s="217" t="s">
        <v>199</v>
      </c>
      <c r="C46" s="90" t="s">
        <v>200</v>
      </c>
      <c r="D46" s="89" t="s">
        <v>70</v>
      </c>
      <c r="E46" s="273"/>
      <c r="F46" s="273"/>
      <c r="G46" s="33"/>
      <c r="H46" s="33"/>
      <c r="I46" s="44"/>
      <c r="J46" s="44"/>
      <c r="K46" s="89"/>
      <c r="L46" s="44"/>
    </row>
    <row r="47" spans="1:12" ht="43.5" x14ac:dyDescent="0.2">
      <c r="A47" s="247" t="s">
        <v>201</v>
      </c>
      <c r="B47" s="220" t="s">
        <v>202</v>
      </c>
      <c r="C47" s="185" t="s">
        <v>78</v>
      </c>
      <c r="D47" s="94" t="s">
        <v>75</v>
      </c>
      <c r="E47" s="169" t="s">
        <v>77</v>
      </c>
      <c r="F47" s="169" t="s">
        <v>74</v>
      </c>
      <c r="G47" s="34"/>
      <c r="H47" s="94"/>
      <c r="I47" s="94"/>
      <c r="J47" s="94"/>
      <c r="K47" s="94"/>
      <c r="L47" s="34"/>
    </row>
    <row r="48" spans="1:12" ht="43.5" x14ac:dyDescent="0.2">
      <c r="A48" s="246" t="s">
        <v>203</v>
      </c>
      <c r="B48" s="221" t="s">
        <v>204</v>
      </c>
      <c r="C48" s="254" t="s">
        <v>79</v>
      </c>
      <c r="D48" s="95" t="s">
        <v>75</v>
      </c>
      <c r="E48" s="166" t="s">
        <v>410</v>
      </c>
      <c r="F48" s="166" t="s">
        <v>71</v>
      </c>
      <c r="G48" s="37"/>
      <c r="H48" s="39"/>
      <c r="I48" s="39"/>
      <c r="J48" s="39"/>
      <c r="K48" s="39"/>
      <c r="L48" s="39"/>
    </row>
    <row r="49" spans="1:12" ht="65.25" x14ac:dyDescent="0.2">
      <c r="A49" s="283" t="s">
        <v>205</v>
      </c>
      <c r="B49" s="204" t="s">
        <v>206</v>
      </c>
      <c r="C49" s="181" t="s">
        <v>432</v>
      </c>
      <c r="D49" s="76" t="s">
        <v>73</v>
      </c>
      <c r="E49" s="285" t="s">
        <v>77</v>
      </c>
      <c r="F49" s="285" t="s">
        <v>71</v>
      </c>
      <c r="G49" s="38"/>
      <c r="H49" s="35"/>
      <c r="I49" s="35"/>
      <c r="J49" s="35"/>
      <c r="K49" s="93"/>
      <c r="L49" s="35"/>
    </row>
    <row r="50" spans="1:12" ht="21.75" x14ac:dyDescent="0.2">
      <c r="A50" s="269"/>
      <c r="B50" s="216" t="s">
        <v>207</v>
      </c>
      <c r="C50" s="86" t="s">
        <v>208</v>
      </c>
      <c r="D50" s="85" t="s">
        <v>70</v>
      </c>
      <c r="E50" s="272"/>
      <c r="F50" s="272"/>
      <c r="G50" s="31"/>
      <c r="H50" s="32"/>
      <c r="I50" s="31"/>
      <c r="J50" s="31"/>
      <c r="K50" s="85"/>
      <c r="L50" s="31"/>
    </row>
    <row r="51" spans="1:12" ht="21.75" x14ac:dyDescent="0.2">
      <c r="A51" s="275"/>
      <c r="B51" s="216" t="s">
        <v>209</v>
      </c>
      <c r="C51" s="96" t="s">
        <v>210</v>
      </c>
      <c r="D51" s="97" t="s">
        <v>70</v>
      </c>
      <c r="E51" s="273"/>
      <c r="F51" s="273"/>
      <c r="G51" s="32"/>
      <c r="H51" s="42"/>
      <c r="I51" s="41"/>
      <c r="J51" s="41"/>
      <c r="K51" s="97"/>
      <c r="L51" s="41"/>
    </row>
    <row r="52" spans="1:12" ht="21.75" x14ac:dyDescent="0.2">
      <c r="A52" s="248" t="s">
        <v>211</v>
      </c>
      <c r="B52" s="221" t="s">
        <v>212</v>
      </c>
      <c r="C52" s="98" t="s">
        <v>80</v>
      </c>
      <c r="D52" s="69" t="s">
        <v>75</v>
      </c>
      <c r="E52" s="166" t="s">
        <v>77</v>
      </c>
      <c r="F52" s="166" t="s">
        <v>71</v>
      </c>
      <c r="G52" s="34"/>
      <c r="H52" s="34"/>
      <c r="I52" s="34"/>
      <c r="J52" s="34"/>
      <c r="K52" s="34"/>
      <c r="L52" s="34"/>
    </row>
    <row r="53" spans="1:12" ht="37.5" x14ac:dyDescent="0.2">
      <c r="A53" s="246" t="s">
        <v>81</v>
      </c>
      <c r="B53" s="222" t="s">
        <v>213</v>
      </c>
      <c r="C53" s="99" t="s">
        <v>82</v>
      </c>
      <c r="D53" s="182" t="s">
        <v>413</v>
      </c>
      <c r="E53" s="167" t="s">
        <v>410</v>
      </c>
      <c r="F53" s="166" t="s">
        <v>71</v>
      </c>
      <c r="G53" s="39"/>
      <c r="H53" s="34"/>
      <c r="I53" s="34"/>
      <c r="J53" s="34"/>
      <c r="K53" s="34"/>
      <c r="L53" s="34"/>
    </row>
    <row r="54" spans="1:12" ht="43.5" x14ac:dyDescent="0.2">
      <c r="A54" s="246" t="s">
        <v>83</v>
      </c>
      <c r="B54" s="222" t="s">
        <v>214</v>
      </c>
      <c r="C54" s="198" t="s">
        <v>84</v>
      </c>
      <c r="D54" s="182" t="s">
        <v>430</v>
      </c>
      <c r="E54" s="166" t="s">
        <v>77</v>
      </c>
      <c r="F54" s="199" t="s">
        <v>429</v>
      </c>
      <c r="G54" s="39"/>
      <c r="H54" s="34"/>
      <c r="I54" s="34"/>
      <c r="J54" s="34"/>
      <c r="K54" s="34"/>
      <c r="L54" s="34"/>
    </row>
    <row r="55" spans="1:12" ht="65.25" x14ac:dyDescent="0.2">
      <c r="A55" s="245" t="s">
        <v>215</v>
      </c>
      <c r="B55" s="214" t="s">
        <v>216</v>
      </c>
      <c r="C55" s="185" t="s">
        <v>417</v>
      </c>
      <c r="D55" s="94" t="s">
        <v>85</v>
      </c>
      <c r="E55" s="169" t="s">
        <v>77</v>
      </c>
      <c r="F55" s="169" t="s">
        <v>86</v>
      </c>
      <c r="G55" s="35"/>
      <c r="H55" s="34"/>
      <c r="I55" s="34"/>
      <c r="J55" s="34"/>
      <c r="K55" s="94"/>
      <c r="L55" s="34"/>
    </row>
    <row r="56" spans="1:12" ht="21.75" x14ac:dyDescent="0.2">
      <c r="A56" s="248">
        <v>2.13</v>
      </c>
      <c r="B56" s="221" t="s">
        <v>217</v>
      </c>
      <c r="C56" s="98" t="s">
        <v>218</v>
      </c>
      <c r="D56" s="69" t="s">
        <v>70</v>
      </c>
      <c r="E56" s="167" t="s">
        <v>410</v>
      </c>
      <c r="F56" s="166" t="s">
        <v>86</v>
      </c>
      <c r="G56" s="35"/>
      <c r="H56" s="34"/>
      <c r="I56" s="34"/>
      <c r="J56" s="34"/>
      <c r="K56" s="34"/>
      <c r="L56" s="34"/>
    </row>
    <row r="57" spans="1:12" ht="21.75" x14ac:dyDescent="0.2">
      <c r="A57" s="249" t="s">
        <v>219</v>
      </c>
      <c r="B57" s="223" t="s">
        <v>220</v>
      </c>
      <c r="C57" s="101" t="s">
        <v>87</v>
      </c>
      <c r="D57" s="100" t="s">
        <v>70</v>
      </c>
      <c r="E57" s="169" t="s">
        <v>410</v>
      </c>
      <c r="F57" s="169" t="s">
        <v>86</v>
      </c>
      <c r="G57" s="39"/>
      <c r="H57" s="39"/>
      <c r="I57" s="39"/>
      <c r="J57" s="39"/>
      <c r="K57" s="102"/>
      <c r="L57" s="39"/>
    </row>
    <row r="58" spans="1:12" ht="21.75" x14ac:dyDescent="0.2">
      <c r="A58" s="280" t="s">
        <v>221</v>
      </c>
      <c r="B58" s="214" t="s">
        <v>222</v>
      </c>
      <c r="C58" s="77" t="s">
        <v>223</v>
      </c>
      <c r="D58" s="76"/>
      <c r="E58" s="281" t="s">
        <v>410</v>
      </c>
      <c r="F58" s="281" t="s">
        <v>86</v>
      </c>
      <c r="G58" s="40"/>
      <c r="H58" s="35"/>
      <c r="I58" s="35"/>
      <c r="J58" s="35"/>
      <c r="K58" s="35"/>
      <c r="L58" s="35"/>
    </row>
    <row r="59" spans="1:12" ht="21.75" x14ac:dyDescent="0.2">
      <c r="A59" s="269"/>
      <c r="B59" s="205" t="s">
        <v>224</v>
      </c>
      <c r="C59" s="58" t="s">
        <v>225</v>
      </c>
      <c r="D59" s="57" t="s">
        <v>73</v>
      </c>
      <c r="E59" s="277"/>
      <c r="F59" s="277"/>
      <c r="G59" s="31"/>
      <c r="H59" s="31"/>
      <c r="I59" s="31"/>
      <c r="J59" s="31"/>
      <c r="K59" s="84"/>
      <c r="L59" s="31"/>
    </row>
    <row r="60" spans="1:12" ht="21.75" x14ac:dyDescent="0.2">
      <c r="A60" s="269"/>
      <c r="B60" s="216" t="s">
        <v>226</v>
      </c>
      <c r="C60" s="86" t="s">
        <v>227</v>
      </c>
      <c r="D60" s="85" t="s">
        <v>70</v>
      </c>
      <c r="E60" s="277"/>
      <c r="F60" s="277"/>
      <c r="G60" s="32"/>
      <c r="H60" s="32"/>
      <c r="I60" s="31"/>
      <c r="J60" s="31"/>
      <c r="K60" s="85"/>
      <c r="L60" s="31"/>
    </row>
    <row r="61" spans="1:12" ht="21.75" x14ac:dyDescent="0.2">
      <c r="A61" s="269"/>
      <c r="B61" s="216" t="s">
        <v>228</v>
      </c>
      <c r="C61" s="86" t="s">
        <v>229</v>
      </c>
      <c r="D61" s="85" t="s">
        <v>70</v>
      </c>
      <c r="E61" s="277"/>
      <c r="F61" s="277"/>
      <c r="G61" s="32"/>
      <c r="H61" s="32"/>
      <c r="I61" s="31"/>
      <c r="J61" s="31"/>
      <c r="K61" s="85"/>
      <c r="L61" s="31"/>
    </row>
    <row r="62" spans="1:12" ht="21.75" x14ac:dyDescent="0.2">
      <c r="A62" s="269"/>
      <c r="B62" s="205" t="s">
        <v>230</v>
      </c>
      <c r="C62" s="58" t="s">
        <v>231</v>
      </c>
      <c r="D62" s="57" t="s">
        <v>73</v>
      </c>
      <c r="E62" s="277"/>
      <c r="F62" s="277"/>
      <c r="G62" s="31"/>
      <c r="H62" s="31"/>
      <c r="I62" s="31"/>
      <c r="J62" s="31"/>
      <c r="K62" s="84"/>
      <c r="L62" s="31"/>
    </row>
    <row r="63" spans="1:12" ht="21.75" x14ac:dyDescent="0.2">
      <c r="A63" s="269"/>
      <c r="B63" s="216" t="s">
        <v>232</v>
      </c>
      <c r="C63" s="86" t="s">
        <v>233</v>
      </c>
      <c r="D63" s="85" t="s">
        <v>70</v>
      </c>
      <c r="E63" s="277"/>
      <c r="F63" s="277"/>
      <c r="G63" s="32"/>
      <c r="H63" s="32"/>
      <c r="I63" s="31"/>
      <c r="J63" s="31"/>
      <c r="K63" s="85"/>
      <c r="L63" s="31"/>
    </row>
    <row r="64" spans="1:12" ht="21.75" x14ac:dyDescent="0.2">
      <c r="A64" s="269"/>
      <c r="B64" s="216" t="s">
        <v>234</v>
      </c>
      <c r="C64" s="154" t="s">
        <v>428</v>
      </c>
      <c r="D64" s="85" t="s">
        <v>70</v>
      </c>
      <c r="E64" s="277"/>
      <c r="F64" s="277"/>
      <c r="G64" s="32"/>
      <c r="H64" s="32"/>
      <c r="I64" s="31"/>
      <c r="J64" s="31"/>
      <c r="K64" s="85"/>
      <c r="L64" s="31"/>
    </row>
    <row r="65" spans="1:12" ht="21.75" x14ac:dyDescent="0.2">
      <c r="A65" s="270"/>
      <c r="B65" s="224" t="s">
        <v>235</v>
      </c>
      <c r="C65" s="104" t="s">
        <v>236</v>
      </c>
      <c r="D65" s="103" t="s">
        <v>97</v>
      </c>
      <c r="E65" s="278"/>
      <c r="F65" s="278"/>
      <c r="G65" s="41"/>
      <c r="H65" s="41"/>
      <c r="I65" s="41"/>
      <c r="J65" s="41"/>
      <c r="K65" s="103"/>
      <c r="L65" s="41"/>
    </row>
    <row r="66" spans="1:12" ht="21.75" x14ac:dyDescent="0.2">
      <c r="A66" s="286" t="s">
        <v>237</v>
      </c>
      <c r="B66" s="225" t="s">
        <v>238</v>
      </c>
      <c r="C66" s="106" t="s">
        <v>88</v>
      </c>
      <c r="D66" s="105" t="s">
        <v>70</v>
      </c>
      <c r="E66" s="287" t="s">
        <v>77</v>
      </c>
      <c r="F66" s="287" t="s">
        <v>89</v>
      </c>
      <c r="G66" s="107">
        <v>8</v>
      </c>
      <c r="H66" s="105">
        <f t="shared" ref="H66:K66" si="0">H67+H68+H69+H70</f>
        <v>0</v>
      </c>
      <c r="I66" s="105">
        <f t="shared" si="0"/>
        <v>0</v>
      </c>
      <c r="J66" s="105">
        <f t="shared" si="0"/>
        <v>0</v>
      </c>
      <c r="K66" s="105">
        <f t="shared" si="0"/>
        <v>0</v>
      </c>
      <c r="L66" s="35"/>
    </row>
    <row r="67" spans="1:12" ht="21.75" x14ac:dyDescent="0.2">
      <c r="A67" s="269"/>
      <c r="B67" s="226" t="s">
        <v>239</v>
      </c>
      <c r="C67" s="109" t="s">
        <v>240</v>
      </c>
      <c r="D67" s="108" t="s">
        <v>70</v>
      </c>
      <c r="E67" s="277"/>
      <c r="F67" s="277"/>
      <c r="G67" s="110" t="s">
        <v>383</v>
      </c>
      <c r="H67" s="108"/>
      <c r="I67" s="108"/>
      <c r="J67" s="108"/>
      <c r="K67" s="108"/>
      <c r="L67" s="31"/>
    </row>
    <row r="68" spans="1:12" ht="21.75" x14ac:dyDescent="0.2">
      <c r="A68" s="269"/>
      <c r="B68" s="226" t="s">
        <v>241</v>
      </c>
      <c r="C68" s="109" t="s">
        <v>242</v>
      </c>
      <c r="D68" s="108" t="s">
        <v>70</v>
      </c>
      <c r="E68" s="277"/>
      <c r="F68" s="277"/>
      <c r="G68" s="110">
        <v>4</v>
      </c>
      <c r="H68" s="108"/>
      <c r="I68" s="108"/>
      <c r="J68" s="108"/>
      <c r="K68" s="108"/>
      <c r="L68" s="31"/>
    </row>
    <row r="69" spans="1:12" ht="21.75" x14ac:dyDescent="0.2">
      <c r="A69" s="269"/>
      <c r="B69" s="226" t="s">
        <v>243</v>
      </c>
      <c r="C69" s="109" t="s">
        <v>244</v>
      </c>
      <c r="D69" s="108" t="s">
        <v>70</v>
      </c>
      <c r="E69" s="277"/>
      <c r="F69" s="277"/>
      <c r="G69" s="110" t="s">
        <v>383</v>
      </c>
      <c r="H69" s="108"/>
      <c r="I69" s="108"/>
      <c r="J69" s="108"/>
      <c r="K69" s="108"/>
      <c r="L69" s="31"/>
    </row>
    <row r="70" spans="1:12" ht="21.75" x14ac:dyDescent="0.2">
      <c r="A70" s="275"/>
      <c r="B70" s="227" t="s">
        <v>245</v>
      </c>
      <c r="C70" s="112" t="s">
        <v>246</v>
      </c>
      <c r="D70" s="111" t="s">
        <v>70</v>
      </c>
      <c r="E70" s="278"/>
      <c r="F70" s="278"/>
      <c r="G70" s="113">
        <v>4</v>
      </c>
      <c r="H70" s="111"/>
      <c r="I70" s="111"/>
      <c r="J70" s="111"/>
      <c r="K70" s="111"/>
      <c r="L70" s="44"/>
    </row>
    <row r="71" spans="1:12" ht="32.25" customHeight="1" x14ac:dyDescent="0.2">
      <c r="A71" s="299" t="s">
        <v>90</v>
      </c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1"/>
    </row>
    <row r="72" spans="1:12" ht="21.75" customHeight="1" x14ac:dyDescent="0.2">
      <c r="A72" s="242" t="s">
        <v>247</v>
      </c>
      <c r="B72" s="203" t="s">
        <v>248</v>
      </c>
      <c r="C72" s="160" t="s">
        <v>91</v>
      </c>
      <c r="D72" s="51" t="s">
        <v>55</v>
      </c>
      <c r="E72" s="163" t="s">
        <v>410</v>
      </c>
      <c r="F72" s="163" t="s">
        <v>89</v>
      </c>
      <c r="G72" s="114" t="s">
        <v>383</v>
      </c>
      <c r="H72" s="51"/>
      <c r="I72" s="51"/>
      <c r="J72" s="51"/>
      <c r="K72" s="51"/>
      <c r="L72" s="34"/>
    </row>
    <row r="73" spans="1:12" ht="21.75" x14ac:dyDescent="0.2">
      <c r="A73" s="242" t="s">
        <v>249</v>
      </c>
      <c r="B73" s="203" t="s">
        <v>250</v>
      </c>
      <c r="C73" s="160" t="s">
        <v>251</v>
      </c>
      <c r="D73" s="51" t="s">
        <v>70</v>
      </c>
      <c r="E73" s="163" t="s">
        <v>410</v>
      </c>
      <c r="F73" s="163" t="s">
        <v>89</v>
      </c>
      <c r="G73" s="115" t="s">
        <v>383</v>
      </c>
      <c r="H73" s="51"/>
      <c r="I73" s="51"/>
      <c r="J73" s="51"/>
      <c r="K73" s="51"/>
      <c r="L73" s="34"/>
    </row>
    <row r="74" spans="1:12" ht="40.5" customHeight="1" x14ac:dyDescent="0.2">
      <c r="A74" s="242" t="s">
        <v>252</v>
      </c>
      <c r="B74" s="203" t="s">
        <v>253</v>
      </c>
      <c r="C74" s="160" t="s">
        <v>418</v>
      </c>
      <c r="D74" s="51" t="s">
        <v>68</v>
      </c>
      <c r="E74" s="163" t="s">
        <v>410</v>
      </c>
      <c r="F74" s="164" t="s">
        <v>92</v>
      </c>
      <c r="G74" s="34"/>
      <c r="H74" s="116"/>
      <c r="I74" s="116"/>
      <c r="J74" s="116"/>
      <c r="K74" s="116"/>
      <c r="L74" s="34"/>
    </row>
    <row r="75" spans="1:12" ht="40.5" customHeight="1" x14ac:dyDescent="0.2">
      <c r="A75" s="286" t="s">
        <v>254</v>
      </c>
      <c r="B75" s="225" t="s">
        <v>255</v>
      </c>
      <c r="C75" s="193" t="s">
        <v>93</v>
      </c>
      <c r="D75" s="105" t="s">
        <v>73</v>
      </c>
      <c r="E75" s="287" t="s">
        <v>410</v>
      </c>
      <c r="F75" s="287" t="s">
        <v>89</v>
      </c>
      <c r="G75" s="35"/>
      <c r="H75" s="117" t="e">
        <f t="shared" ref="H75:K75" si="1">H76/H79*100</f>
        <v>#DIV/0!</v>
      </c>
      <c r="I75" s="117" t="e">
        <f t="shared" si="1"/>
        <v>#DIV/0!</v>
      </c>
      <c r="J75" s="117" t="e">
        <f t="shared" si="1"/>
        <v>#DIV/0!</v>
      </c>
      <c r="K75" s="117" t="e">
        <f t="shared" si="1"/>
        <v>#DIV/0!</v>
      </c>
      <c r="L75" s="35"/>
    </row>
    <row r="76" spans="1:12" ht="40.5" customHeight="1" x14ac:dyDescent="0.2">
      <c r="A76" s="269"/>
      <c r="B76" s="226" t="s">
        <v>256</v>
      </c>
      <c r="C76" s="195" t="s">
        <v>424</v>
      </c>
      <c r="D76" s="72" t="s">
        <v>257</v>
      </c>
      <c r="E76" s="277"/>
      <c r="F76" s="277"/>
      <c r="G76" s="31"/>
      <c r="H76" s="72"/>
      <c r="I76" s="72"/>
      <c r="J76" s="72"/>
      <c r="K76" s="72"/>
      <c r="L76" s="31"/>
    </row>
    <row r="77" spans="1:12" ht="21.75" x14ac:dyDescent="0.2">
      <c r="A77" s="269"/>
      <c r="B77" s="226" t="s">
        <v>258</v>
      </c>
      <c r="C77" s="194" t="s">
        <v>259</v>
      </c>
      <c r="D77" s="108" t="s">
        <v>257</v>
      </c>
      <c r="E77" s="277"/>
      <c r="F77" s="277"/>
      <c r="G77" s="32"/>
      <c r="H77" s="108"/>
      <c r="I77" s="108"/>
      <c r="J77" s="108"/>
      <c r="K77" s="108"/>
      <c r="L77" s="31"/>
    </row>
    <row r="78" spans="1:12" ht="21.75" x14ac:dyDescent="0.2">
      <c r="A78" s="269"/>
      <c r="B78" s="226" t="s">
        <v>260</v>
      </c>
      <c r="C78" s="194" t="s">
        <v>261</v>
      </c>
      <c r="D78" s="108" t="s">
        <v>257</v>
      </c>
      <c r="E78" s="277"/>
      <c r="F78" s="277"/>
      <c r="G78" s="32"/>
      <c r="H78" s="108"/>
      <c r="I78" s="108"/>
      <c r="J78" s="108"/>
      <c r="K78" s="108"/>
      <c r="L78" s="31"/>
    </row>
    <row r="79" spans="1:12" ht="40.5" customHeight="1" x14ac:dyDescent="0.2">
      <c r="A79" s="269"/>
      <c r="B79" s="212" t="s">
        <v>262</v>
      </c>
      <c r="C79" s="195" t="s">
        <v>425</v>
      </c>
      <c r="D79" s="72" t="s">
        <v>257</v>
      </c>
      <c r="E79" s="277"/>
      <c r="F79" s="277"/>
      <c r="G79" s="31"/>
      <c r="H79" s="72"/>
      <c r="I79" s="72"/>
      <c r="J79" s="72"/>
      <c r="K79" s="72"/>
      <c r="L79" s="31"/>
    </row>
    <row r="80" spans="1:12" ht="40.5" customHeight="1" x14ac:dyDescent="0.2">
      <c r="A80" s="269"/>
      <c r="B80" s="226" t="s">
        <v>263</v>
      </c>
      <c r="C80" s="196" t="s">
        <v>426</v>
      </c>
      <c r="D80" s="108" t="s">
        <v>257</v>
      </c>
      <c r="E80" s="277"/>
      <c r="F80" s="277"/>
      <c r="G80" s="32"/>
      <c r="H80" s="108"/>
      <c r="I80" s="108"/>
      <c r="J80" s="108"/>
      <c r="K80" s="108"/>
      <c r="L80" s="31"/>
    </row>
    <row r="81" spans="1:12" ht="40.5" customHeight="1" x14ac:dyDescent="0.2">
      <c r="A81" s="275"/>
      <c r="B81" s="228" t="s">
        <v>264</v>
      </c>
      <c r="C81" s="197" t="s">
        <v>427</v>
      </c>
      <c r="D81" s="118" t="s">
        <v>257</v>
      </c>
      <c r="E81" s="278"/>
      <c r="F81" s="278"/>
      <c r="G81" s="42"/>
      <c r="H81" s="118"/>
      <c r="I81" s="118"/>
      <c r="J81" s="118"/>
      <c r="K81" s="118"/>
      <c r="L81" s="41"/>
    </row>
    <row r="82" spans="1:12" ht="40.5" customHeight="1" x14ac:dyDescent="0.2">
      <c r="A82" s="242" t="s">
        <v>265</v>
      </c>
      <c r="B82" s="203" t="s">
        <v>266</v>
      </c>
      <c r="C82" s="160" t="s">
        <v>94</v>
      </c>
      <c r="D82" s="51" t="s">
        <v>95</v>
      </c>
      <c r="E82" s="163" t="s">
        <v>410</v>
      </c>
      <c r="F82" s="163" t="s">
        <v>267</v>
      </c>
      <c r="G82" s="34"/>
      <c r="H82" s="34"/>
      <c r="I82" s="51"/>
      <c r="J82" s="51"/>
      <c r="K82" s="51"/>
      <c r="L82" s="34"/>
    </row>
    <row r="83" spans="1:12" ht="40.5" customHeight="1" x14ac:dyDescent="0.2">
      <c r="A83" s="247" t="s">
        <v>268</v>
      </c>
      <c r="B83" s="220" t="s">
        <v>269</v>
      </c>
      <c r="C83" s="185" t="s">
        <v>419</v>
      </c>
      <c r="D83" s="94" t="s">
        <v>13</v>
      </c>
      <c r="E83" s="169" t="s">
        <v>410</v>
      </c>
      <c r="F83" s="200" t="s">
        <v>420</v>
      </c>
      <c r="G83" s="34"/>
      <c r="H83" s="34"/>
      <c r="I83" s="94"/>
      <c r="J83" s="94"/>
      <c r="K83" s="94"/>
      <c r="L83" s="34"/>
    </row>
    <row r="84" spans="1:12" ht="32.25" customHeight="1" x14ac:dyDescent="0.2">
      <c r="A84" s="302" t="s">
        <v>270</v>
      </c>
      <c r="B84" s="303"/>
      <c r="C84" s="303"/>
      <c r="D84" s="303"/>
      <c r="E84" s="303"/>
      <c r="F84" s="303"/>
      <c r="G84" s="303"/>
      <c r="H84" s="303"/>
      <c r="I84" s="303"/>
      <c r="J84" s="303"/>
      <c r="K84" s="303"/>
      <c r="L84" s="304"/>
    </row>
    <row r="85" spans="1:12" ht="40.5" customHeight="1" x14ac:dyDescent="0.2">
      <c r="A85" s="288" t="s">
        <v>271</v>
      </c>
      <c r="B85" s="229" t="s">
        <v>272</v>
      </c>
      <c r="C85" s="157" t="s">
        <v>403</v>
      </c>
      <c r="D85" s="119"/>
      <c r="E85" s="39"/>
      <c r="F85" s="39"/>
      <c r="G85" s="35"/>
      <c r="H85" s="35"/>
      <c r="I85" s="35"/>
      <c r="J85" s="35"/>
      <c r="K85" s="35"/>
      <c r="L85" s="78"/>
    </row>
    <row r="86" spans="1:12" ht="40.5" customHeight="1" x14ac:dyDescent="0.2">
      <c r="A86" s="269"/>
      <c r="B86" s="230" t="s">
        <v>273</v>
      </c>
      <c r="C86" s="156" t="s">
        <v>404</v>
      </c>
      <c r="D86" s="120" t="s">
        <v>97</v>
      </c>
      <c r="E86" s="170" t="s">
        <v>410</v>
      </c>
      <c r="F86" s="170" t="s">
        <v>98</v>
      </c>
      <c r="G86" s="31"/>
      <c r="H86" s="121"/>
      <c r="I86" s="121"/>
      <c r="J86" s="121"/>
      <c r="K86" s="121"/>
      <c r="L86" s="122"/>
    </row>
    <row r="87" spans="1:12" ht="40.5" customHeight="1" x14ac:dyDescent="0.2">
      <c r="A87" s="270"/>
      <c r="B87" s="224" t="s">
        <v>274</v>
      </c>
      <c r="C87" s="158" t="s">
        <v>405</v>
      </c>
      <c r="D87" s="103" t="s">
        <v>97</v>
      </c>
      <c r="E87" s="171" t="s">
        <v>410</v>
      </c>
      <c r="F87" s="171" t="s">
        <v>98</v>
      </c>
      <c r="G87" s="123" t="s">
        <v>388</v>
      </c>
      <c r="H87" s="41"/>
      <c r="I87" s="41"/>
      <c r="J87" s="41"/>
      <c r="K87" s="103"/>
      <c r="L87" s="124"/>
    </row>
    <row r="88" spans="1:12" ht="40.5" customHeight="1" x14ac:dyDescent="0.2">
      <c r="A88" s="248" t="s">
        <v>275</v>
      </c>
      <c r="B88" s="221" t="s">
        <v>276</v>
      </c>
      <c r="C88" s="159" t="s">
        <v>407</v>
      </c>
      <c r="D88" s="69" t="s">
        <v>99</v>
      </c>
      <c r="E88" s="166" t="s">
        <v>410</v>
      </c>
      <c r="F88" s="166" t="s">
        <v>277</v>
      </c>
      <c r="G88" s="34"/>
      <c r="H88" s="34"/>
      <c r="I88" s="34"/>
      <c r="J88" s="34"/>
      <c r="K88" s="34"/>
      <c r="L88" s="125"/>
    </row>
    <row r="89" spans="1:12" ht="40.5" customHeight="1" x14ac:dyDescent="0.2">
      <c r="A89" s="248" t="s">
        <v>278</v>
      </c>
      <c r="B89" s="221" t="s">
        <v>279</v>
      </c>
      <c r="C89" s="159" t="s">
        <v>406</v>
      </c>
      <c r="D89" s="69" t="s">
        <v>73</v>
      </c>
      <c r="E89" s="166" t="s">
        <v>410</v>
      </c>
      <c r="F89" s="166" t="s">
        <v>409</v>
      </c>
      <c r="G89" s="34"/>
      <c r="H89" s="34"/>
      <c r="I89" s="34"/>
      <c r="J89" s="34"/>
      <c r="K89" s="34"/>
      <c r="L89" s="125"/>
    </row>
    <row r="90" spans="1:12" ht="40.5" customHeight="1" x14ac:dyDescent="0.2">
      <c r="A90" s="242" t="s">
        <v>280</v>
      </c>
      <c r="B90" s="203" t="s">
        <v>281</v>
      </c>
      <c r="C90" s="160" t="s">
        <v>408</v>
      </c>
      <c r="D90" s="51" t="s">
        <v>282</v>
      </c>
      <c r="E90" s="163" t="s">
        <v>410</v>
      </c>
      <c r="F90" s="163" t="s">
        <v>89</v>
      </c>
      <c r="G90" s="114" t="s">
        <v>389</v>
      </c>
      <c r="H90" s="34"/>
      <c r="I90" s="34"/>
      <c r="J90" s="34"/>
      <c r="K90" s="51"/>
      <c r="L90" s="125"/>
    </row>
    <row r="91" spans="1:12" ht="21.75" x14ac:dyDescent="0.2">
      <c r="A91" s="268" t="s">
        <v>283</v>
      </c>
      <c r="B91" s="205" t="s">
        <v>284</v>
      </c>
      <c r="C91" s="58" t="s">
        <v>285</v>
      </c>
      <c r="D91" s="57" t="s">
        <v>73</v>
      </c>
      <c r="E91" s="281" t="s">
        <v>410</v>
      </c>
      <c r="F91" s="281" t="s">
        <v>116</v>
      </c>
      <c r="G91" s="31"/>
      <c r="H91" s="31"/>
      <c r="I91" s="31"/>
      <c r="J91" s="31"/>
      <c r="K91" s="84"/>
      <c r="L91" s="59"/>
    </row>
    <row r="92" spans="1:12" ht="21.75" x14ac:dyDescent="0.2">
      <c r="A92" s="269"/>
      <c r="B92" s="216" t="s">
        <v>286</v>
      </c>
      <c r="C92" s="86" t="s">
        <v>287</v>
      </c>
      <c r="D92" s="85" t="s">
        <v>70</v>
      </c>
      <c r="E92" s="277"/>
      <c r="F92" s="277"/>
      <c r="G92" s="32"/>
      <c r="H92" s="32"/>
      <c r="I92" s="31"/>
      <c r="J92" s="31"/>
      <c r="K92" s="85"/>
      <c r="L92" s="59"/>
    </row>
    <row r="93" spans="1:12" ht="21.75" x14ac:dyDescent="0.2">
      <c r="A93" s="270"/>
      <c r="B93" s="216" t="s">
        <v>288</v>
      </c>
      <c r="C93" s="86" t="s">
        <v>289</v>
      </c>
      <c r="D93" s="85" t="s">
        <v>70</v>
      </c>
      <c r="E93" s="277"/>
      <c r="F93" s="277"/>
      <c r="G93" s="32"/>
      <c r="H93" s="32"/>
      <c r="I93" s="31"/>
      <c r="J93" s="31"/>
      <c r="K93" s="85"/>
      <c r="L93" s="59"/>
    </row>
    <row r="94" spans="1:12" ht="21.75" x14ac:dyDescent="0.2">
      <c r="A94" s="268" t="s">
        <v>290</v>
      </c>
      <c r="B94" s="205" t="s">
        <v>291</v>
      </c>
      <c r="C94" s="58" t="s">
        <v>292</v>
      </c>
      <c r="D94" s="57" t="s">
        <v>73</v>
      </c>
      <c r="E94" s="277"/>
      <c r="F94" s="277"/>
      <c r="G94" s="31"/>
      <c r="H94" s="31"/>
      <c r="I94" s="31"/>
      <c r="J94" s="31"/>
      <c r="K94" s="84"/>
      <c r="L94" s="59"/>
    </row>
    <row r="95" spans="1:12" ht="21.75" x14ac:dyDescent="0.2">
      <c r="A95" s="269"/>
      <c r="B95" s="216" t="s">
        <v>293</v>
      </c>
      <c r="C95" s="154" t="s">
        <v>396</v>
      </c>
      <c r="D95" s="85" t="s">
        <v>70</v>
      </c>
      <c r="E95" s="277"/>
      <c r="F95" s="277"/>
      <c r="G95" s="32"/>
      <c r="H95" s="32"/>
      <c r="I95" s="31"/>
      <c r="J95" s="31"/>
      <c r="K95" s="126"/>
      <c r="L95" s="59"/>
    </row>
    <row r="96" spans="1:12" ht="21.75" x14ac:dyDescent="0.2">
      <c r="A96" s="270"/>
      <c r="B96" s="216" t="s">
        <v>294</v>
      </c>
      <c r="C96" s="154" t="s">
        <v>397</v>
      </c>
      <c r="D96" s="85" t="s">
        <v>70</v>
      </c>
      <c r="E96" s="278"/>
      <c r="F96" s="278"/>
      <c r="G96" s="32"/>
      <c r="H96" s="32"/>
      <c r="I96" s="31"/>
      <c r="J96" s="31"/>
      <c r="K96" s="126"/>
      <c r="L96" s="59"/>
    </row>
    <row r="97" spans="1:12" ht="21.75" x14ac:dyDescent="0.35">
      <c r="A97" s="280" t="s">
        <v>295</v>
      </c>
      <c r="B97" s="214" t="s">
        <v>296</v>
      </c>
      <c r="C97" s="77" t="s">
        <v>297</v>
      </c>
      <c r="D97" s="76" t="s">
        <v>73</v>
      </c>
      <c r="E97" s="43"/>
      <c r="F97" s="172"/>
      <c r="G97" s="35"/>
      <c r="H97" s="35"/>
      <c r="I97" s="35"/>
      <c r="J97" s="35"/>
      <c r="K97" s="35"/>
      <c r="L97" s="78"/>
    </row>
    <row r="98" spans="1:12" ht="56.25" x14ac:dyDescent="0.2">
      <c r="A98" s="269"/>
      <c r="B98" s="205" t="s">
        <v>298</v>
      </c>
      <c r="C98" s="155" t="s">
        <v>402</v>
      </c>
      <c r="D98" s="57" t="s">
        <v>73</v>
      </c>
      <c r="E98" s="281" t="s">
        <v>410</v>
      </c>
      <c r="F98" s="180" t="s">
        <v>299</v>
      </c>
      <c r="G98" s="31"/>
      <c r="H98" s="57"/>
      <c r="I98" s="57"/>
      <c r="J98" s="57"/>
      <c r="K98" s="57"/>
      <c r="L98" s="59"/>
    </row>
    <row r="99" spans="1:12" ht="40.5" customHeight="1" x14ac:dyDescent="0.2">
      <c r="A99" s="269"/>
      <c r="B99" s="205" t="s">
        <v>300</v>
      </c>
      <c r="C99" s="155" t="s">
        <v>398</v>
      </c>
      <c r="D99" s="57" t="s">
        <v>73</v>
      </c>
      <c r="E99" s="277"/>
      <c r="F99" s="290" t="s">
        <v>431</v>
      </c>
      <c r="G99" s="31"/>
      <c r="H99" s="57"/>
      <c r="I99" s="57"/>
      <c r="J99" s="57"/>
      <c r="K99" s="57"/>
      <c r="L99" s="59"/>
    </row>
    <row r="100" spans="1:12" ht="43.5" x14ac:dyDescent="0.2">
      <c r="A100" s="269"/>
      <c r="B100" s="230" t="s">
        <v>301</v>
      </c>
      <c r="C100" s="156" t="s">
        <v>399</v>
      </c>
      <c r="D100" s="127" t="s">
        <v>302</v>
      </c>
      <c r="E100" s="277"/>
      <c r="F100" s="291"/>
      <c r="G100" s="31"/>
      <c r="H100" s="31"/>
      <c r="I100" s="31"/>
      <c r="J100" s="31"/>
      <c r="K100" s="31"/>
      <c r="L100" s="59"/>
    </row>
    <row r="101" spans="1:12" ht="43.5" x14ac:dyDescent="0.2">
      <c r="A101" s="269"/>
      <c r="B101" s="205" t="s">
        <v>303</v>
      </c>
      <c r="C101" s="155" t="s">
        <v>400</v>
      </c>
      <c r="D101" s="57" t="s">
        <v>73</v>
      </c>
      <c r="E101" s="277"/>
      <c r="F101" s="291"/>
      <c r="G101" s="31"/>
      <c r="H101" s="84"/>
      <c r="I101" s="84"/>
      <c r="J101" s="84"/>
      <c r="K101" s="84"/>
      <c r="L101" s="59"/>
    </row>
    <row r="102" spans="1:12" ht="21.75" x14ac:dyDescent="0.2">
      <c r="A102" s="269"/>
      <c r="B102" s="216" t="s">
        <v>304</v>
      </c>
      <c r="C102" s="86" t="s">
        <v>305</v>
      </c>
      <c r="D102" s="85" t="s">
        <v>70</v>
      </c>
      <c r="E102" s="277"/>
      <c r="F102" s="291"/>
      <c r="G102" s="32"/>
      <c r="H102" s="85"/>
      <c r="I102" s="85"/>
      <c r="J102" s="85"/>
      <c r="K102" s="85"/>
      <c r="L102" s="59"/>
    </row>
    <row r="103" spans="1:12" ht="21.75" x14ac:dyDescent="0.2">
      <c r="A103" s="269"/>
      <c r="B103" s="216" t="s">
        <v>306</v>
      </c>
      <c r="C103" s="86" t="s">
        <v>307</v>
      </c>
      <c r="D103" s="85" t="s">
        <v>70</v>
      </c>
      <c r="E103" s="277"/>
      <c r="F103" s="291"/>
      <c r="G103" s="32"/>
      <c r="H103" s="85"/>
      <c r="I103" s="85"/>
      <c r="J103" s="85"/>
      <c r="K103" s="85"/>
      <c r="L103" s="59"/>
    </row>
    <row r="104" spans="1:12" ht="43.5" x14ac:dyDescent="0.2">
      <c r="A104" s="270"/>
      <c r="B104" s="230" t="s">
        <v>308</v>
      </c>
      <c r="C104" s="156" t="s">
        <v>401</v>
      </c>
      <c r="D104" s="128" t="s">
        <v>309</v>
      </c>
      <c r="E104" s="289"/>
      <c r="F104" s="292"/>
      <c r="G104" s="31"/>
      <c r="H104" s="31"/>
      <c r="I104" s="31"/>
      <c r="J104" s="31"/>
      <c r="K104" s="31"/>
      <c r="L104" s="59"/>
    </row>
    <row r="105" spans="1:12" ht="21.75" x14ac:dyDescent="0.2">
      <c r="A105" s="248" t="s">
        <v>310</v>
      </c>
      <c r="B105" s="221" t="s">
        <v>311</v>
      </c>
      <c r="C105" s="98" t="s">
        <v>100</v>
      </c>
      <c r="D105" s="69" t="s">
        <v>101</v>
      </c>
      <c r="E105" s="166" t="s">
        <v>410</v>
      </c>
      <c r="F105" s="166" t="s">
        <v>102</v>
      </c>
      <c r="G105" s="34"/>
      <c r="H105" s="34"/>
      <c r="I105" s="34"/>
      <c r="J105" s="34"/>
      <c r="K105" s="34"/>
      <c r="L105" s="125"/>
    </row>
    <row r="106" spans="1:12" ht="21.75" x14ac:dyDescent="0.2">
      <c r="A106" s="248" t="s">
        <v>312</v>
      </c>
      <c r="B106" s="221" t="s">
        <v>313</v>
      </c>
      <c r="C106" s="98" t="s">
        <v>103</v>
      </c>
      <c r="D106" s="69" t="s">
        <v>101</v>
      </c>
      <c r="E106" s="166" t="s">
        <v>410</v>
      </c>
      <c r="F106" s="201" t="s">
        <v>96</v>
      </c>
      <c r="G106" s="34"/>
      <c r="H106" s="34"/>
      <c r="I106" s="34"/>
      <c r="J106" s="34"/>
      <c r="K106" s="34"/>
      <c r="L106" s="125"/>
    </row>
    <row r="107" spans="1:12" ht="21.75" x14ac:dyDescent="0.2">
      <c r="A107" s="248" t="s">
        <v>314</v>
      </c>
      <c r="B107" s="221" t="s">
        <v>315</v>
      </c>
      <c r="C107" s="98" t="s">
        <v>104</v>
      </c>
      <c r="D107" s="69" t="s">
        <v>97</v>
      </c>
      <c r="E107" s="166" t="s">
        <v>410</v>
      </c>
      <c r="F107" s="166" t="s">
        <v>102</v>
      </c>
      <c r="G107" s="34"/>
      <c r="H107" s="34"/>
      <c r="I107" s="34"/>
      <c r="J107" s="34"/>
      <c r="K107" s="34"/>
      <c r="L107" s="125"/>
    </row>
    <row r="108" spans="1:12" ht="21.75" x14ac:dyDescent="0.2">
      <c r="A108" s="280" t="s">
        <v>105</v>
      </c>
      <c r="B108" s="214" t="s">
        <v>316</v>
      </c>
      <c r="C108" s="77" t="s">
        <v>106</v>
      </c>
      <c r="D108" s="76"/>
      <c r="E108" s="39"/>
      <c r="F108" s="39"/>
      <c r="G108" s="35"/>
      <c r="H108" s="35"/>
      <c r="I108" s="35"/>
      <c r="J108" s="35"/>
      <c r="K108" s="35"/>
      <c r="L108" s="78"/>
    </row>
    <row r="109" spans="1:12" ht="21.75" x14ac:dyDescent="0.2">
      <c r="A109" s="269"/>
      <c r="B109" s="205" t="s">
        <v>317</v>
      </c>
      <c r="C109" s="58" t="s">
        <v>318</v>
      </c>
      <c r="D109" s="57" t="s">
        <v>73</v>
      </c>
      <c r="E109" s="281" t="s">
        <v>410</v>
      </c>
      <c r="F109" s="281" t="s">
        <v>102</v>
      </c>
      <c r="G109" s="79">
        <v>95</v>
      </c>
      <c r="H109" s="84"/>
      <c r="I109" s="84"/>
      <c r="J109" s="84"/>
      <c r="K109" s="84"/>
      <c r="L109" s="59"/>
    </row>
    <row r="110" spans="1:12" ht="21.75" x14ac:dyDescent="0.2">
      <c r="A110" s="275"/>
      <c r="B110" s="215" t="s">
        <v>319</v>
      </c>
      <c r="C110" s="81" t="s">
        <v>320</v>
      </c>
      <c r="D110" s="80" t="s">
        <v>73</v>
      </c>
      <c r="E110" s="278"/>
      <c r="F110" s="278"/>
      <c r="G110" s="82">
        <v>85</v>
      </c>
      <c r="H110" s="129"/>
      <c r="I110" s="129"/>
      <c r="J110" s="129"/>
      <c r="K110" s="129"/>
      <c r="L110" s="64"/>
    </row>
    <row r="111" spans="1:12" ht="21.75" x14ac:dyDescent="0.2">
      <c r="A111" s="307" t="s">
        <v>107</v>
      </c>
      <c r="B111" s="211" t="s">
        <v>321</v>
      </c>
      <c r="C111" s="188" t="s">
        <v>108</v>
      </c>
      <c r="D111" s="70"/>
      <c r="E111" s="36"/>
      <c r="F111" s="36"/>
      <c r="G111" s="30"/>
      <c r="H111" s="30"/>
      <c r="I111" s="30"/>
      <c r="J111" s="30"/>
      <c r="K111" s="30"/>
      <c r="L111" s="56"/>
    </row>
    <row r="112" spans="1:12" ht="21.75" x14ac:dyDescent="0.2">
      <c r="A112" s="269"/>
      <c r="B112" s="212" t="s">
        <v>322</v>
      </c>
      <c r="C112" s="189" t="s">
        <v>323</v>
      </c>
      <c r="D112" s="72"/>
      <c r="E112" s="308" t="s">
        <v>410</v>
      </c>
      <c r="F112" s="308" t="s">
        <v>109</v>
      </c>
      <c r="G112" s="31"/>
      <c r="H112" s="31"/>
      <c r="I112" s="31"/>
      <c r="J112" s="31"/>
      <c r="K112" s="31"/>
      <c r="L112" s="59"/>
    </row>
    <row r="113" spans="1:12" ht="21.75" x14ac:dyDescent="0.2">
      <c r="A113" s="269"/>
      <c r="B113" s="212" t="s">
        <v>324</v>
      </c>
      <c r="C113" s="189" t="s">
        <v>325</v>
      </c>
      <c r="D113" s="72" t="s">
        <v>68</v>
      </c>
      <c r="E113" s="277"/>
      <c r="F113" s="277"/>
      <c r="G113" s="75" t="s">
        <v>390</v>
      </c>
      <c r="H113" s="75"/>
      <c r="I113" s="75"/>
      <c r="J113" s="75"/>
      <c r="K113" s="75"/>
      <c r="L113" s="59"/>
    </row>
    <row r="114" spans="1:12" ht="21.75" x14ac:dyDescent="0.2">
      <c r="A114" s="269"/>
      <c r="B114" s="212" t="s">
        <v>326</v>
      </c>
      <c r="C114" s="189" t="s">
        <v>327</v>
      </c>
      <c r="D114" s="72" t="s">
        <v>68</v>
      </c>
      <c r="E114" s="277"/>
      <c r="F114" s="277"/>
      <c r="G114" s="75" t="s">
        <v>391</v>
      </c>
      <c r="H114" s="75"/>
      <c r="I114" s="75"/>
      <c r="J114" s="75"/>
      <c r="K114" s="75"/>
      <c r="L114" s="59"/>
    </row>
    <row r="115" spans="1:12" ht="21.75" x14ac:dyDescent="0.2">
      <c r="A115" s="269"/>
      <c r="B115" s="212" t="s">
        <v>328</v>
      </c>
      <c r="C115" s="189" t="s">
        <v>329</v>
      </c>
      <c r="D115" s="72" t="s">
        <v>68</v>
      </c>
      <c r="E115" s="277"/>
      <c r="F115" s="277"/>
      <c r="G115" s="75" t="s">
        <v>390</v>
      </c>
      <c r="H115" s="75"/>
      <c r="I115" s="75"/>
      <c r="J115" s="75"/>
      <c r="K115" s="75"/>
      <c r="L115" s="59"/>
    </row>
    <row r="116" spans="1:12" ht="21.75" x14ac:dyDescent="0.2">
      <c r="A116" s="269"/>
      <c r="B116" s="212" t="s">
        <v>330</v>
      </c>
      <c r="C116" s="189" t="s">
        <v>331</v>
      </c>
      <c r="D116" s="72" t="s">
        <v>73</v>
      </c>
      <c r="E116" s="277"/>
      <c r="F116" s="277"/>
      <c r="G116" s="73">
        <v>5</v>
      </c>
      <c r="H116" s="73"/>
      <c r="I116" s="73"/>
      <c r="J116" s="73"/>
      <c r="K116" s="73"/>
      <c r="L116" s="59"/>
    </row>
    <row r="117" spans="1:12" ht="21.75" x14ac:dyDescent="0.2">
      <c r="A117" s="275"/>
      <c r="B117" s="231" t="s">
        <v>332</v>
      </c>
      <c r="C117" s="190" t="s">
        <v>333</v>
      </c>
      <c r="D117" s="130" t="s">
        <v>73</v>
      </c>
      <c r="E117" s="278"/>
      <c r="F117" s="278"/>
      <c r="G117" s="131">
        <v>2</v>
      </c>
      <c r="H117" s="131"/>
      <c r="I117" s="131"/>
      <c r="J117" s="131"/>
      <c r="K117" s="131"/>
      <c r="L117" s="124"/>
    </row>
    <row r="118" spans="1:12" ht="40.5" customHeight="1" x14ac:dyDescent="0.2">
      <c r="A118" s="280" t="s">
        <v>334</v>
      </c>
      <c r="B118" s="214" t="s">
        <v>335</v>
      </c>
      <c r="C118" s="181" t="s">
        <v>421</v>
      </c>
      <c r="D118" s="76" t="s">
        <v>73</v>
      </c>
      <c r="E118" s="281" t="s">
        <v>410</v>
      </c>
      <c r="F118" s="281" t="s">
        <v>110</v>
      </c>
      <c r="G118" s="93">
        <v>54.54</v>
      </c>
      <c r="H118" s="93"/>
      <c r="I118" s="93"/>
      <c r="J118" s="93"/>
      <c r="K118" s="93"/>
      <c r="L118" s="78"/>
    </row>
    <row r="119" spans="1:12" ht="40.5" customHeight="1" x14ac:dyDescent="0.2">
      <c r="A119" s="269"/>
      <c r="B119" s="216" t="s">
        <v>336</v>
      </c>
      <c r="C119" s="191" t="s">
        <v>337</v>
      </c>
      <c r="D119" s="85" t="s">
        <v>338</v>
      </c>
      <c r="E119" s="277"/>
      <c r="F119" s="277"/>
      <c r="G119" s="132">
        <v>12</v>
      </c>
      <c r="H119" s="85"/>
      <c r="I119" s="85"/>
      <c r="J119" s="85"/>
      <c r="K119" s="85"/>
      <c r="L119" s="59"/>
    </row>
    <row r="120" spans="1:12" ht="21.75" x14ac:dyDescent="0.2">
      <c r="A120" s="275"/>
      <c r="B120" s="232" t="s">
        <v>339</v>
      </c>
      <c r="C120" s="192" t="s">
        <v>340</v>
      </c>
      <c r="D120" s="97" t="s">
        <v>338</v>
      </c>
      <c r="E120" s="278"/>
      <c r="F120" s="278"/>
      <c r="G120" s="133">
        <v>22</v>
      </c>
      <c r="H120" s="97"/>
      <c r="I120" s="97"/>
      <c r="J120" s="97"/>
      <c r="K120" s="97"/>
      <c r="L120" s="124"/>
    </row>
    <row r="121" spans="1:12" ht="21.75" x14ac:dyDescent="0.2">
      <c r="A121" s="247" t="s">
        <v>341</v>
      </c>
      <c r="B121" s="220" t="s">
        <v>342</v>
      </c>
      <c r="C121" s="185" t="s">
        <v>111</v>
      </c>
      <c r="D121" s="94" t="s">
        <v>73</v>
      </c>
      <c r="E121" s="169" t="s">
        <v>410</v>
      </c>
      <c r="F121" s="169" t="s">
        <v>116</v>
      </c>
      <c r="G121" s="34"/>
      <c r="H121" s="34"/>
      <c r="I121" s="34"/>
      <c r="J121" s="34"/>
      <c r="K121" s="134"/>
      <c r="L121" s="125"/>
    </row>
    <row r="122" spans="1:12" ht="40.5" customHeight="1" x14ac:dyDescent="0.2">
      <c r="A122" s="248" t="s">
        <v>343</v>
      </c>
      <c r="B122" s="221" t="s">
        <v>344</v>
      </c>
      <c r="C122" s="159" t="s">
        <v>112</v>
      </c>
      <c r="D122" s="69" t="s">
        <v>73</v>
      </c>
      <c r="E122" s="166" t="s">
        <v>410</v>
      </c>
      <c r="F122" s="173" t="s">
        <v>113</v>
      </c>
      <c r="G122" s="34"/>
      <c r="H122" s="34"/>
      <c r="I122" s="34"/>
      <c r="J122" s="34"/>
      <c r="K122" s="34"/>
      <c r="L122" s="125"/>
    </row>
    <row r="123" spans="1:12" ht="62.25" customHeight="1" x14ac:dyDescent="0.2">
      <c r="A123" s="248" t="s">
        <v>345</v>
      </c>
      <c r="B123" s="221" t="s">
        <v>346</v>
      </c>
      <c r="C123" s="153" t="s">
        <v>395</v>
      </c>
      <c r="D123" s="69" t="s">
        <v>73</v>
      </c>
      <c r="E123" s="166" t="s">
        <v>410</v>
      </c>
      <c r="F123" s="173" t="s">
        <v>113</v>
      </c>
      <c r="G123" s="34"/>
      <c r="H123" s="34"/>
      <c r="I123" s="34"/>
      <c r="J123" s="34"/>
      <c r="K123" s="34"/>
      <c r="L123" s="125"/>
    </row>
    <row r="124" spans="1:12" ht="27" customHeight="1" x14ac:dyDescent="0.2">
      <c r="A124" s="293" t="s">
        <v>347</v>
      </c>
      <c r="B124" s="294"/>
      <c r="C124" s="294"/>
      <c r="D124" s="294"/>
      <c r="E124" s="294"/>
      <c r="F124" s="294"/>
      <c r="G124" s="305"/>
      <c r="H124" s="135"/>
      <c r="I124" s="136"/>
      <c r="J124" s="136"/>
      <c r="K124" s="136"/>
      <c r="L124" s="136"/>
    </row>
    <row r="125" spans="1:12" ht="40.5" customHeight="1" x14ac:dyDescent="0.2">
      <c r="A125" s="250" t="s">
        <v>348</v>
      </c>
      <c r="B125" s="214" t="s">
        <v>349</v>
      </c>
      <c r="C125" s="181" t="s">
        <v>423</v>
      </c>
      <c r="D125" s="76"/>
      <c r="E125" s="100"/>
      <c r="F125" s="100"/>
      <c r="G125" s="35"/>
      <c r="H125" s="35"/>
      <c r="I125" s="35"/>
      <c r="J125" s="35"/>
      <c r="K125" s="35"/>
      <c r="L125" s="78"/>
    </row>
    <row r="126" spans="1:12" ht="21.75" x14ac:dyDescent="0.2">
      <c r="A126" s="268" t="s">
        <v>350</v>
      </c>
      <c r="B126" s="233" t="s">
        <v>351</v>
      </c>
      <c r="C126" s="55" t="s">
        <v>352</v>
      </c>
      <c r="D126" s="54" t="s">
        <v>353</v>
      </c>
      <c r="E126" s="295" t="s">
        <v>410</v>
      </c>
      <c r="F126" s="306" t="s">
        <v>420</v>
      </c>
      <c r="G126" s="37"/>
      <c r="H126" s="83"/>
      <c r="I126" s="83"/>
      <c r="J126" s="83"/>
      <c r="K126" s="83"/>
      <c r="L126" s="56"/>
    </row>
    <row r="127" spans="1:12" ht="21.75" x14ac:dyDescent="0.2">
      <c r="A127" s="269"/>
      <c r="B127" s="234" t="s">
        <v>354</v>
      </c>
      <c r="C127" s="137" t="s">
        <v>355</v>
      </c>
      <c r="D127" s="138" t="s">
        <v>356</v>
      </c>
      <c r="E127" s="277"/>
      <c r="F127" s="277"/>
      <c r="G127" s="37"/>
      <c r="H127" s="139"/>
      <c r="I127" s="140"/>
      <c r="J127" s="140"/>
      <c r="K127" s="140"/>
      <c r="L127" s="56"/>
    </row>
    <row r="128" spans="1:12" ht="21.75" x14ac:dyDescent="0.2">
      <c r="A128" s="269"/>
      <c r="B128" s="234" t="s">
        <v>357</v>
      </c>
      <c r="C128" s="137" t="s">
        <v>358</v>
      </c>
      <c r="D128" s="138" t="s">
        <v>70</v>
      </c>
      <c r="E128" s="277"/>
      <c r="F128" s="277"/>
      <c r="G128" s="37"/>
      <c r="H128" s="139"/>
      <c r="I128" s="140"/>
      <c r="J128" s="140"/>
      <c r="K128" s="140"/>
      <c r="L128" s="56"/>
    </row>
    <row r="129" spans="1:12" ht="21.75" x14ac:dyDescent="0.2">
      <c r="A129" s="270"/>
      <c r="B129" s="234" t="s">
        <v>359</v>
      </c>
      <c r="C129" s="137" t="s">
        <v>360</v>
      </c>
      <c r="D129" s="138" t="s">
        <v>99</v>
      </c>
      <c r="E129" s="277"/>
      <c r="F129" s="277"/>
      <c r="G129" s="37"/>
      <c r="H129" s="139"/>
      <c r="I129" s="140"/>
      <c r="J129" s="140"/>
      <c r="K129" s="140"/>
      <c r="L129" s="56"/>
    </row>
    <row r="130" spans="1:12" ht="21.75" x14ac:dyDescent="0.2">
      <c r="A130" s="268" t="s">
        <v>361</v>
      </c>
      <c r="B130" s="233" t="s">
        <v>362</v>
      </c>
      <c r="C130" s="55" t="s">
        <v>363</v>
      </c>
      <c r="D130" s="54" t="s">
        <v>73</v>
      </c>
      <c r="E130" s="277"/>
      <c r="F130" s="277"/>
      <c r="G130" s="37"/>
      <c r="H130" s="83"/>
      <c r="I130" s="83"/>
      <c r="J130" s="83"/>
      <c r="K130" s="83"/>
      <c r="L130" s="56"/>
    </row>
    <row r="131" spans="1:12" ht="21.75" x14ac:dyDescent="0.2">
      <c r="A131" s="269"/>
      <c r="B131" s="234" t="s">
        <v>364</v>
      </c>
      <c r="C131" s="137" t="s">
        <v>365</v>
      </c>
      <c r="D131" s="138" t="s">
        <v>356</v>
      </c>
      <c r="E131" s="277"/>
      <c r="F131" s="277"/>
      <c r="G131" s="37"/>
      <c r="H131" s="138"/>
      <c r="I131" s="138"/>
      <c r="J131" s="138"/>
      <c r="K131" s="138"/>
      <c r="L131" s="56"/>
    </row>
    <row r="132" spans="1:12" ht="21.75" x14ac:dyDescent="0.2">
      <c r="A132" s="270"/>
      <c r="B132" s="234" t="s">
        <v>366</v>
      </c>
      <c r="C132" s="137" t="s">
        <v>367</v>
      </c>
      <c r="D132" s="138" t="s">
        <v>356</v>
      </c>
      <c r="E132" s="277"/>
      <c r="F132" s="277"/>
      <c r="G132" s="37"/>
      <c r="H132" s="138"/>
      <c r="I132" s="138"/>
      <c r="J132" s="138"/>
      <c r="K132" s="138"/>
      <c r="L132" s="56"/>
    </row>
    <row r="133" spans="1:12" ht="21.75" x14ac:dyDescent="0.2">
      <c r="A133" s="268" t="s">
        <v>368</v>
      </c>
      <c r="B133" s="233" t="s">
        <v>369</v>
      </c>
      <c r="C133" s="55" t="s">
        <v>393</v>
      </c>
      <c r="D133" s="141" t="e">
        <f>"KgCO"&amp;CHAR(8322)&amp;"e/คน/วัน"</f>
        <v>#VALUE!</v>
      </c>
      <c r="E133" s="277"/>
      <c r="F133" s="277"/>
      <c r="G133" s="37"/>
      <c r="H133" s="142"/>
      <c r="I133" s="142"/>
      <c r="J133" s="142"/>
      <c r="K133" s="142"/>
      <c r="L133" s="143"/>
    </row>
    <row r="134" spans="1:12" ht="21.75" x14ac:dyDescent="0.2">
      <c r="A134" s="270"/>
      <c r="B134" s="234" t="s">
        <v>370</v>
      </c>
      <c r="C134" s="137" t="s">
        <v>371</v>
      </c>
      <c r="D134" s="144" t="e">
        <f>"KgCO"&amp;CHAR(8322)&amp;"e"</f>
        <v>#VALUE!</v>
      </c>
      <c r="E134" s="278"/>
      <c r="F134" s="278"/>
      <c r="G134" s="38"/>
      <c r="H134" s="144"/>
      <c r="I134" s="144"/>
      <c r="J134" s="144"/>
      <c r="K134" s="144"/>
      <c r="L134" s="145"/>
    </row>
    <row r="135" spans="1:12" ht="27" customHeight="1" x14ac:dyDescent="0.2">
      <c r="A135" s="293" t="s">
        <v>372</v>
      </c>
      <c r="B135" s="294"/>
      <c r="C135" s="294"/>
      <c r="D135" s="294"/>
      <c r="E135" s="294"/>
      <c r="F135" s="294"/>
      <c r="G135" s="294"/>
      <c r="H135" s="135"/>
      <c r="I135" s="136"/>
      <c r="J135" s="136"/>
      <c r="K135" s="136"/>
      <c r="L135" s="136"/>
    </row>
    <row r="136" spans="1:12" ht="40.5" customHeight="1" x14ac:dyDescent="0.2">
      <c r="A136" s="245" t="s">
        <v>373</v>
      </c>
      <c r="B136" s="235" t="s">
        <v>374</v>
      </c>
      <c r="C136" s="187" t="s">
        <v>422</v>
      </c>
      <c r="D136" s="65" t="s">
        <v>73</v>
      </c>
      <c r="E136" s="165" t="s">
        <v>410</v>
      </c>
      <c r="F136" s="165" t="s">
        <v>114</v>
      </c>
      <c r="G136" s="186"/>
      <c r="H136" s="28"/>
      <c r="I136" s="65"/>
      <c r="J136" s="65"/>
      <c r="K136" s="65"/>
      <c r="L136" s="66"/>
    </row>
    <row r="137" spans="1:12" ht="27" customHeight="1" x14ac:dyDescent="0.2">
      <c r="A137" s="293" t="s">
        <v>375</v>
      </c>
      <c r="B137" s="294"/>
      <c r="C137" s="294"/>
      <c r="D137" s="294"/>
      <c r="E137" s="294"/>
      <c r="F137" s="294"/>
      <c r="G137" s="294"/>
      <c r="H137" s="135"/>
      <c r="I137" s="136"/>
      <c r="J137" s="136"/>
      <c r="K137" s="136"/>
      <c r="L137" s="136"/>
    </row>
    <row r="138" spans="1:12" ht="21.75" x14ac:dyDescent="0.2">
      <c r="A138" s="251" t="s">
        <v>376</v>
      </c>
      <c r="B138" s="236" t="s">
        <v>377</v>
      </c>
      <c r="C138" s="58" t="s">
        <v>115</v>
      </c>
      <c r="D138" s="146"/>
      <c r="E138" s="30"/>
      <c r="F138" s="30"/>
      <c r="G138" s="31"/>
      <c r="H138" s="147"/>
      <c r="I138" s="147"/>
      <c r="J138" s="147"/>
      <c r="K138" s="147"/>
      <c r="L138" s="148"/>
    </row>
    <row r="139" spans="1:12" ht="21.75" x14ac:dyDescent="0.2">
      <c r="A139" s="252" t="s">
        <v>378</v>
      </c>
      <c r="B139" s="237" t="s">
        <v>379</v>
      </c>
      <c r="C139" s="104" t="s">
        <v>380</v>
      </c>
      <c r="D139" s="103" t="s">
        <v>97</v>
      </c>
      <c r="E139" s="295" t="s">
        <v>410</v>
      </c>
      <c r="F139" s="295" t="s">
        <v>116</v>
      </c>
      <c r="G139" s="41"/>
      <c r="H139" s="41"/>
      <c r="I139" s="41"/>
      <c r="J139" s="41"/>
      <c r="K139" s="103"/>
      <c r="L139" s="124"/>
    </row>
    <row r="140" spans="1:12" ht="21.75" x14ac:dyDescent="0.2">
      <c r="A140" s="253" t="s">
        <v>381</v>
      </c>
      <c r="B140" s="238" t="s">
        <v>382</v>
      </c>
      <c r="C140" s="81" t="s">
        <v>394</v>
      </c>
      <c r="D140" s="80" t="s">
        <v>97</v>
      </c>
      <c r="E140" s="278"/>
      <c r="F140" s="278"/>
      <c r="G140" s="44"/>
      <c r="H140" s="44"/>
      <c r="I140" s="44"/>
      <c r="J140" s="44"/>
      <c r="K140" s="80"/>
      <c r="L140" s="64"/>
    </row>
  </sheetData>
  <mergeCells count="61">
    <mergeCell ref="A135:G135"/>
    <mergeCell ref="A137:G137"/>
    <mergeCell ref="E139:E140"/>
    <mergeCell ref="F139:F140"/>
    <mergeCell ref="A21:L21"/>
    <mergeCell ref="A71:L71"/>
    <mergeCell ref="A84:L84"/>
    <mergeCell ref="A124:G124"/>
    <mergeCell ref="A126:A129"/>
    <mergeCell ref="E126:E134"/>
    <mergeCell ref="F126:F134"/>
    <mergeCell ref="A130:A132"/>
    <mergeCell ref="A133:A134"/>
    <mergeCell ref="A111:A117"/>
    <mergeCell ref="E112:E117"/>
    <mergeCell ref="F112:F117"/>
    <mergeCell ref="A118:A120"/>
    <mergeCell ref="E118:E120"/>
    <mergeCell ref="F118:F120"/>
    <mergeCell ref="A97:A104"/>
    <mergeCell ref="E98:E104"/>
    <mergeCell ref="F99:F104"/>
    <mergeCell ref="A108:A110"/>
    <mergeCell ref="E109:E110"/>
    <mergeCell ref="F109:F110"/>
    <mergeCell ref="A85:A87"/>
    <mergeCell ref="A91:A93"/>
    <mergeCell ref="E91:E96"/>
    <mergeCell ref="F91:F96"/>
    <mergeCell ref="A94:A96"/>
    <mergeCell ref="A66:A70"/>
    <mergeCell ref="E66:E70"/>
    <mergeCell ref="F66:F70"/>
    <mergeCell ref="A75:A81"/>
    <mergeCell ref="E75:E81"/>
    <mergeCell ref="F75:F81"/>
    <mergeCell ref="A49:A51"/>
    <mergeCell ref="E49:E51"/>
    <mergeCell ref="F49:F51"/>
    <mergeCell ref="A58:A65"/>
    <mergeCell ref="E58:E65"/>
    <mergeCell ref="F58:F65"/>
    <mergeCell ref="A41:A42"/>
    <mergeCell ref="E41:E42"/>
    <mergeCell ref="F41:F42"/>
    <mergeCell ref="A44:A46"/>
    <mergeCell ref="E44:E46"/>
    <mergeCell ref="F44:F46"/>
    <mergeCell ref="A22:A24"/>
    <mergeCell ref="E22:E24"/>
    <mergeCell ref="F22:F24"/>
    <mergeCell ref="E25:E40"/>
    <mergeCell ref="F25:F40"/>
    <mergeCell ref="A26:A31"/>
    <mergeCell ref="A32:A40"/>
    <mergeCell ref="A7:A9"/>
    <mergeCell ref="E8:E10"/>
    <mergeCell ref="F8:F10"/>
    <mergeCell ref="A15:A20"/>
    <mergeCell ref="E15:E20"/>
    <mergeCell ref="F15:F20"/>
  </mergeCells>
  <dataValidations count="2">
    <dataValidation type="list" allowBlank="1" showErrorMessage="1" sqref="H113:K115" xr:uid="{D9B26316-719E-4DBE-ABE9-D32EF1B6A643}">
      <formula1>"เป็นบวก,เป็นลบ"</formula1>
    </dataValidation>
    <dataValidation type="list" allowBlank="1" showErrorMessage="1" sqref="K90" xr:uid="{85CC8D76-7D75-4366-8CF1-68F6F0F93318}">
      <formula1>"มี,ไม่มี"</formula1>
    </dataValidation>
  </dataValidations>
  <pageMargins left="0.19685039370078741" right="0.19685039370078741" top="0.39370078740157483" bottom="0.19685039370078741" header="0.31496062992125984" footer="0.11811023622047245"/>
  <pageSetup paperSize="9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คำชี้แจงการการบันทึกข้อมูล</vt:lpstr>
      <vt:lpstr>ยุทธ์1-4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WARAIRAT</dc:creator>
  <cp:lastModifiedBy>Sasiwimon Tumsiripong</cp:lastModifiedBy>
  <cp:lastPrinted>2025-12-18T06:05:58Z</cp:lastPrinted>
  <dcterms:created xsi:type="dcterms:W3CDTF">2025-12-17T01:47:52Z</dcterms:created>
  <dcterms:modified xsi:type="dcterms:W3CDTF">2026-02-12T02:52:32Z</dcterms:modified>
</cp:coreProperties>
</file>