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siwimon\Downloads\"/>
    </mc:Choice>
  </mc:AlternateContent>
  <xr:revisionPtr revIDLastSave="0" documentId="13_ncr:1_{72E7ADF6-03A5-4988-9B10-1CD6D99A9027}" xr6:coauthVersionLast="47" xr6:coauthVersionMax="47" xr10:uidLastSave="{00000000-0000-0000-0000-000000000000}"/>
  <bookViews>
    <workbookView xWindow="-120" yWindow="-120" windowWidth="29040" windowHeight="15840" activeTab="1" xr2:uid="{74A19DCC-2F78-4ACE-BF02-9BE924AE0B2D}"/>
  </bookViews>
  <sheets>
    <sheet name="MasterProject2568" sheetId="1" r:id="rId1"/>
    <sheet name="MasterProject2569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6" i="1" l="1"/>
  <c r="N105" i="1"/>
  <c r="M105" i="1"/>
  <c r="L105" i="1"/>
  <c r="K105" i="1"/>
  <c r="E105" i="1"/>
  <c r="N102" i="1"/>
  <c r="M102" i="1"/>
  <c r="L102" i="1"/>
  <c r="K102" i="1"/>
  <c r="N98" i="1"/>
  <c r="M98" i="1"/>
  <c r="L98" i="1"/>
  <c r="K98" i="1"/>
  <c r="N93" i="1"/>
  <c r="M93" i="1"/>
  <c r="L93" i="1"/>
  <c r="K93" i="1"/>
  <c r="N82" i="1"/>
  <c r="M82" i="1"/>
  <c r="L82" i="1"/>
  <c r="K82" i="1"/>
  <c r="N76" i="1"/>
  <c r="N73" i="1"/>
  <c r="N56" i="1"/>
  <c r="M56" i="1"/>
  <c r="L56" i="1"/>
  <c r="K56" i="1"/>
  <c r="D51" i="1"/>
  <c r="N48" i="1"/>
  <c r="M48" i="1"/>
  <c r="L48" i="1"/>
  <c r="K48" i="1"/>
  <c r="N44" i="1"/>
  <c r="N41" i="1"/>
  <c r="N35" i="1"/>
  <c r="N31" i="1"/>
  <c r="N28" i="1"/>
  <c r="N26" i="1"/>
  <c r="M26" i="1"/>
  <c r="L26" i="1"/>
  <c r="K26" i="1"/>
  <c r="N19" i="1"/>
  <c r="M19" i="1"/>
  <c r="L19" i="1"/>
  <c r="K19" i="1"/>
  <c r="N18" i="1"/>
  <c r="M18" i="1"/>
  <c r="L18" i="1"/>
  <c r="L17" i="1" s="1"/>
  <c r="K18" i="1"/>
  <c r="N12" i="1"/>
  <c r="N11" i="1" s="1"/>
  <c r="M12" i="1"/>
  <c r="M11" i="1" s="1"/>
  <c r="L12" i="1"/>
  <c r="L11" i="1" s="1"/>
  <c r="K12" i="1"/>
  <c r="K10" i="1" s="1"/>
  <c r="N17" i="1" l="1"/>
  <c r="K17" i="1"/>
  <c r="M10" i="1"/>
  <c r="K11" i="1"/>
  <c r="N10" i="1"/>
  <c r="L10" i="1"/>
  <c r="M17" i="1"/>
</calcChain>
</file>

<file path=xl/sharedStrings.xml><?xml version="1.0" encoding="utf-8"?>
<sst xmlns="http://schemas.openxmlformats.org/spreadsheetml/2006/main" count="913" uniqueCount="346">
  <si>
    <t>Strategy_id</t>
  </si>
  <si>
    <t>no</t>
  </si>
  <si>
    <t>Project_id</t>
  </si>
  <si>
    <t>ProjectName</t>
  </si>
  <si>
    <t>Unit</t>
  </si>
  <si>
    <t>typeYear</t>
  </si>
  <si>
    <t>Year</t>
  </si>
  <si>
    <t>Responsible</t>
  </si>
  <si>
    <t>division_id</t>
  </si>
  <si>
    <t>Target</t>
  </si>
  <si>
    <t>Quarter1</t>
  </si>
  <si>
    <t>Quarter2</t>
  </si>
  <si>
    <t>Quarter3</t>
  </si>
  <si>
    <t>Quarter4</t>
  </si>
  <si>
    <t>RE6801001</t>
  </si>
  <si>
    <t>Total International Publications</t>
  </si>
  <si>
    <t>เรื่อง</t>
  </si>
  <si>
    <t>ส่วนงาน/กองบริหารงานวิจัย</t>
  </si>
  <si>
    <t>RE6801004</t>
  </si>
  <si>
    <t>ปีปฏิทิน</t>
  </si>
  <si>
    <t>ปีงบประมาณ</t>
  </si>
  <si>
    <t>งานวิจัย</t>
  </si>
  <si>
    <t>ยุทธศาสตร์ที่ 1</t>
  </si>
  <si>
    <t>1.1</t>
  </si>
  <si>
    <t>1.2</t>
  </si>
  <si>
    <t>International Publications in Q1 Journal</t>
  </si>
  <si>
    <t>1.3</t>
  </si>
  <si>
    <t>RE6801007</t>
  </si>
  <si>
    <t>International Publications in Top 10 Journal</t>
  </si>
  <si>
    <t>1.4</t>
  </si>
  <si>
    <t>RE6801010</t>
  </si>
  <si>
    <t>Publications with International Collaboration</t>
  </si>
  <si>
    <t>บาท</t>
  </si>
  <si>
    <t>-</t>
  </si>
  <si>
    <t>1.9</t>
  </si>
  <si>
    <t>RE6801021</t>
  </si>
  <si>
    <t>International Publications in Top 1 Journal</t>
  </si>
  <si>
    <t>2.1</t>
  </si>
  <si>
    <t>ED6801001</t>
  </si>
  <si>
    <t>จำนวนอาจารย์ที่มีคุณภาพการจัดการเรียนการสอนตามเกณฑ์มาตรฐานคุณภาพอาจารย์ของมหาวิทยาลัยมหิดล (MUPSF - Professional Standards Framework)</t>
  </si>
  <si>
    <t>คน</t>
  </si>
  <si>
    <t>กองบริหารการศึกษา</t>
  </si>
  <si>
    <t>ED6801002</t>
  </si>
  <si>
    <t>ED6801003</t>
  </si>
  <si>
    <t>2.2</t>
  </si>
  <si>
    <t>ED6801004</t>
  </si>
  <si>
    <t>ร้อยละของหลักสูตรที่ได้รับการรับรองคุณภาพตามมาตรฐานระดับสากล</t>
  </si>
  <si>
    <t>ร้อยละ</t>
  </si>
  <si>
    <t>กองพัฒนาคุณภาพ</t>
  </si>
  <si>
    <t>2.2.1</t>
  </si>
  <si>
    <t>ED6801005</t>
  </si>
  <si>
    <t>ร้อยละของหลักสูตรที่ได้รับการรับรองคุณภาพตามมาตรฐานระดับสากล 
(หลักสูตรระดับปริญญาตรี)</t>
  </si>
  <si>
    <t>ED6801006</t>
  </si>
  <si>
    <t>- จำนวนหลักสูตรที่ได้รับการรับรองโดย AUN-QA หรือเทียบเท่า - ระดับปริญญาตรี</t>
  </si>
  <si>
    <t>หลักสูตร</t>
  </si>
  <si>
    <t>ED6801007</t>
  </si>
  <si>
    <t>หลักสูตรที่อยู่ในระยะเวลาการรับรอง</t>
  </si>
  <si>
    <t>ED6801008</t>
  </si>
  <si>
    <t>ED6801009</t>
  </si>
  <si>
    <t>หลักสูตรที่ตรวจใหม่ในปี 2567</t>
  </si>
  <si>
    <t>ED6801010</t>
  </si>
  <si>
    <t>2.2.2</t>
  </si>
  <si>
    <t>ED6801011</t>
  </si>
  <si>
    <t>ร้อยละของหลักสูตรที่ได้รับการรับรองคุณภาพตามมาตรฐานระดับสากล 
(หลักสูตรระดับบัณฑิตศึกษา)</t>
  </si>
  <si>
    <t>N/T</t>
  </si>
  <si>
    <t>ED6801012</t>
  </si>
  <si>
    <t>- จำนวนหลักสูตรที่ได้รับการรับรองโดย AUN-QA หรือเทียบเท่า - ระดับปริญญาโท</t>
  </si>
  <si>
    <t>ED6801013</t>
  </si>
  <si>
    <t>- จำนวนหลักสูตรที่ได้รับการรับรองโดย AUN-QA หรือเทียบเท่า - ระดับปริญญาเอก</t>
  </si>
  <si>
    <t>ED6801014</t>
  </si>
  <si>
    <t>ED6801015</t>
  </si>
  <si>
    <t>ED6801016</t>
  </si>
  <si>
    <t>ED6801017</t>
  </si>
  <si>
    <t>หลักสูตรที่ตรวจใหม่ในปี 2568</t>
  </si>
  <si>
    <t>ED6801018</t>
  </si>
  <si>
    <t>ED6801019</t>
  </si>
  <si>
    <t>2.3</t>
  </si>
  <si>
    <t>ED6801020</t>
  </si>
  <si>
    <t>ร้อยละของหลักสูตรระดับปริญญาตรี สาขาวิชาวิทยาศาสตร์สุขภาพที่ครบวงรอบที่ได้รับการรับรองคุณภาพตามมาตรฐานระดับสากล</t>
  </si>
  <si>
    <t>ED6801021</t>
  </si>
  <si>
    <t>- หลักสูตรระดับปริญญาตรี สาขาวิชาวิทยาศาสตร์สุขภาพที่ครบวงรอบที่ได้รับ
การรับรองคุณภาพตามมาตรฐานระดับสากล</t>
  </si>
  <si>
    <t>2.6</t>
  </si>
  <si>
    <t>ED6801026</t>
  </si>
  <si>
    <t>ร้อยละของหลักสูตรที่ผู้ใช้บัณฑิตมีความพึงพอใจระดับ มาก-มากที่สุด 
(คะแนน 4 ขึ้นไปจากคะแนนเต็ม 5)</t>
  </si>
  <si>
    <t>ED6801027</t>
  </si>
  <si>
    <t>- หลักสูตรที่ผู้ใช้บัณฑิตมีความพึงพอใจระดับ มาก-มากที่สุด</t>
  </si>
  <si>
    <t>ED6801028</t>
  </si>
  <si>
    <t>- หลักสูตรที่ได้รับการประเมินทั้งหมด</t>
  </si>
  <si>
    <t>2.7</t>
  </si>
  <si>
    <t>ED6801029</t>
  </si>
  <si>
    <t>ร้อยละของนักศึกษาระดับปริญญาตรีปีสุดท้ายที่ถูกพัฒนาให้เป็น Global Citizen และ Global Talents</t>
  </si>
  <si>
    <t>กองกิจการนักศึกษา</t>
  </si>
  <si>
    <t>ED6801030</t>
  </si>
  <si>
    <t>- จำนวนนักศึกษาระดับปริญญาตรีปีสุดท้ายที่ได้รับใบรับรอง Activity Transcript  
ตามประกาศมหาวิทยาลัย</t>
  </si>
  <si>
    <t>ED6801031</t>
  </si>
  <si>
    <t>- จำนวนนักศึกษาระดับปริญญาตรีปีสุดท้ายทั้งหมด</t>
  </si>
  <si>
    <t>2.8</t>
  </si>
  <si>
    <t>ED6801032</t>
  </si>
  <si>
    <t>จำนวนหลักสูตรได้รับการรับรอง International Accreditation เฉพาะสาขา</t>
  </si>
  <si>
    <t>2.10</t>
  </si>
  <si>
    <t>ED6801036</t>
  </si>
  <si>
    <t>ร้อยละของหลักสูตรที่บัณฑิต มีความพึงพอใจระดับ มาก-มากที่สุด 
(คะแนน 4 ขึ้นไปจากคะแนนเต็ม 5)</t>
  </si>
  <si>
    <t>ED6801037</t>
  </si>
  <si>
    <t>- หลักสูตรที่บัณฑิตมีความพึงพอใจระดับ มาก-มากที่สุด</t>
  </si>
  <si>
    <t>ED6801038</t>
  </si>
  <si>
    <t>โครงการ</t>
  </si>
  <si>
    <t>2.15</t>
  </si>
  <si>
    <t>ED6801042</t>
  </si>
  <si>
    <t>จำนวนชั่วโมงต่อปีการศึกษาที่ส่วนงานจัดกระบวนการพัฒนานักศึกษาที่ตอบสนองต่อการเป็น Global Citizen, Global Talents และ Entrepreneurship</t>
  </si>
  <si>
    <t>ชั่วโมง</t>
  </si>
  <si>
    <t>2.17</t>
  </si>
  <si>
    <t>ED6801044</t>
  </si>
  <si>
    <t>จำนวนศิษย์เก่าที่มีส่วนร่วมกับกิจกรรมพัฒนามหาวิทยาลัย</t>
  </si>
  <si>
    <t>2.18</t>
  </si>
  <si>
    <t>ED6801045</t>
  </si>
  <si>
    <t xml:space="preserve">ความผูกพันของศิษย์เก่าและศิษย์ปัจจุบันที่มีต่อมหาวิทยาลัยมหิดล </t>
  </si>
  <si>
    <t>2.18.1</t>
  </si>
  <si>
    <t>ED6801046</t>
  </si>
  <si>
    <t>ร้อยละของความผูกพันของศิษย์ปัจจุบันที่มีต่อมหาวิทยาลัย</t>
  </si>
  <si>
    <t>ED6801047</t>
  </si>
  <si>
    <t>- จำนวนศิษย์ปัจจุบันชั้นปีสุดท้ายที่ตอบแบบสอบถามฯ โดยค่าเฉลี่ยความผูกพัน
อยู่ในระดับมากถึงมากที่สุด</t>
  </si>
  <si>
    <t>ED6801048</t>
  </si>
  <si>
    <t>- จำนวนศิษย์ปัจจุบันชั้นปีสุดท้ายที่ตอบแบบสอบถามทั้งหมด</t>
  </si>
  <si>
    <t>2.18.2</t>
  </si>
  <si>
    <t>ED6801049</t>
  </si>
  <si>
    <t>ร้อยละความผูกพันของศิษย์เก่าที่มีต่อมหาวิทยาลัย</t>
  </si>
  <si>
    <t>ED6801050</t>
  </si>
  <si>
    <t>- จำนวนศิษย์เก่าที่ มีความผูกพันระดับมาก ถึง มากที่สุด</t>
  </si>
  <si>
    <t>ED6801051</t>
  </si>
  <si>
    <t>- จำนวนศิษย์เก่่า (ร้อยละ 25 ของศิษย์เก่าทั้งหมด)</t>
  </si>
  <si>
    <t>2.18.3</t>
  </si>
  <si>
    <t>ED6801052</t>
  </si>
  <si>
    <t>ระดับความผูกพันของศิษย์เก่าที่มีต่อมหาวิทยาลัยมหิดล</t>
  </si>
  <si>
    <t>ระดับ</t>
  </si>
  <si>
    <t>2.19</t>
  </si>
  <si>
    <t>ED6801053</t>
  </si>
  <si>
    <t>จำนวนนักศึกษาที่มีการแลกเปลี่ยนทั้ง inbound และ outbound</t>
  </si>
  <si>
    <t>ส่วนงาน</t>
  </si>
  <si>
    <t>2.19.1</t>
  </si>
  <si>
    <t>ED6801054</t>
  </si>
  <si>
    <t>- นักศึกษา inbound ระยะเวลาตั้งแต่ 12 สัปดาห์ขึ้นไป</t>
  </si>
  <si>
    <t>2.19.2</t>
  </si>
  <si>
    <t>ED6801055</t>
  </si>
  <si>
    <t>- นักศึกษา inbound ระยะเวลาน้อยกว่า 12 สัปดาห์</t>
  </si>
  <si>
    <t>2.19.3</t>
  </si>
  <si>
    <t>ED6801056</t>
  </si>
  <si>
    <t>2.19.4</t>
  </si>
  <si>
    <t>ED6801057</t>
  </si>
  <si>
    <t>- นักศึกษา outbound ระยะเวลาน้อยกว่า 12 สัปดาห์</t>
  </si>
  <si>
    <t>3.1</t>
  </si>
  <si>
    <t>SE6801001</t>
  </si>
  <si>
    <t>จำนวนนโยบายชี้นำสังคมของมหาวิทยาลัยที่สำคัญระดับชาติและนานาชาติ</t>
  </si>
  <si>
    <t>3.2</t>
  </si>
  <si>
    <t>SE6801002</t>
  </si>
  <si>
    <t xml:space="preserve">จำนวน Changemaker/Change Agent </t>
  </si>
  <si>
    <t>3.3</t>
  </si>
  <si>
    <t>SE6801003</t>
  </si>
  <si>
    <t>จำนวนมูลค่ารวมของกิจกรรมในโครงการ Capacity Building ที่ได้รับการสนับสนุนจากผู้ให้ภายนอก</t>
  </si>
  <si>
    <t>3.4</t>
  </si>
  <si>
    <t>SE6801004</t>
  </si>
  <si>
    <t>ร้อยละของหน่วยบริการวิชาการที่ได้รับใบรับรองมาตรฐานระดับชาติและนานาชาติ</t>
  </si>
  <si>
    <t>SE6801005</t>
  </si>
  <si>
    <t>- จำนวนหน่วยบริการวิชาการที่ได้รับใบรับรองมาตรฐานระดับชาติและนานาชาติ 
(ไม่นับซ้ำ)</t>
  </si>
  <si>
    <t>แห่ง</t>
  </si>
  <si>
    <t>SE6801006</t>
  </si>
  <si>
    <t>- จำนวนหน่วยบริการวิชาการที่ได้รับใบรับรองมาตรฐานระดับชาติ</t>
  </si>
  <si>
    <t>SE6801007</t>
  </si>
  <si>
    <t>- จำนวนหน่วยบริการวิชาการที่ได้รับใบรับรองมาตรฐานระดับนานาชาติ</t>
  </si>
  <si>
    <t>SE6801008</t>
  </si>
  <si>
    <t>- จำนวนหน่วยบริการวิชาการทั้งหมดของส่วนงานที่ต้องมีการรับรองมาตรฐาน 
(ไม่นับซ้ำ)</t>
  </si>
  <si>
    <t>SE6801009</t>
  </si>
  <si>
    <t>- จำนวนหน่วยบริการวิชาการทั้งหมดของส่วนงานที่ต้องมีการรับรองมาตรฐาน 
ระดับชาติ</t>
  </si>
  <si>
    <t>SE6801010</t>
  </si>
  <si>
    <t>- จำนวนหน่วยบริการวิชาการทั้งหมดของส่วนงานที่ต้องมีการรับรองมาตรฐาน 
ระดับนานชาติ</t>
  </si>
  <si>
    <t>3.5</t>
  </si>
  <si>
    <t>SE6801011</t>
  </si>
  <si>
    <t>International Collaborating Center</t>
  </si>
  <si>
    <t>ศูนย์</t>
  </si>
  <si>
    <t>3.6</t>
  </si>
  <si>
    <t>SE6801012</t>
  </si>
  <si>
    <t>จำนวนมาตรฐานคุณภาพระดับชาติและระดับสากลที่ถูกสร้างโดยส่วนงาน/มหาวิทยาลัย</t>
  </si>
  <si>
    <t>มาตรฐาน</t>
  </si>
  <si>
    <t>3.7</t>
  </si>
  <si>
    <t>SE6801013</t>
  </si>
  <si>
    <t>จำนวนโครงการของส่วนงานที่มีความโดดเด่นและมีผลลัพธ์ที่มี Impact โดยมีความสอดคล้องกับเป้าหมายการพัฒนาที่ยั่งยืน</t>
  </si>
  <si>
    <t>กองกายภาพและสิ่งแวดล้อม</t>
  </si>
  <si>
    <t>4.1</t>
  </si>
  <si>
    <t>MA6801001</t>
  </si>
  <si>
    <t>คะแนนผลการประเมินคุณธรรมและความโปร่งใสในการดำเนินงานของหน่วยงานภาครัฐ (ITA)</t>
  </si>
  <si>
    <t>4.1.1</t>
  </si>
  <si>
    <t>MA6801002</t>
  </si>
  <si>
    <t xml:space="preserve">ผลการประเมินคุณธรรมและความโปร่งใสในการดำเนินงานของหน่วยงานภาครัฐ (ITA) ของมหาวิทยาลัยอยู่ในระดับสูงมาก </t>
  </si>
  <si>
    <t>กองกฎหมาย</t>
  </si>
  <si>
    <t>4.1.2</t>
  </si>
  <si>
    <t>MA6801003</t>
  </si>
  <si>
    <t>ผลการประเมินคุณธรรมและความโปร่งใสในการดำเนินงานของหน่วยงานภาครัฐ (ITA) ของส่วนงานในสังกัดอยู่ในระดับสูง</t>
  </si>
  <si>
    <t>ผ่าน</t>
  </si>
  <si>
    <t>4.2</t>
  </si>
  <si>
    <t>MA6801004</t>
  </si>
  <si>
    <t xml:space="preserve">เหตุการณ์ความเสี่ยงรุนแรงได้รับการแก้ไขในเวลาที่กำหนดและ
ต้องมีมาตรการป้องกันการเกิดซ้ำที่เป็นรูปธรรม </t>
  </si>
  <si>
    <t>วัน</t>
  </si>
  <si>
    <t>ศูนย์บริหารความเสี่ยง</t>
  </si>
  <si>
    <t>4.3</t>
  </si>
  <si>
    <t>MA6801005</t>
  </si>
  <si>
    <t xml:space="preserve">ข้อตรวจพบจากศูนย์ตรวจสอบภายในระดับ High (Risk) และ Medium (Risk) มีจำนวนรวมลดลงจากปีที่ผ่านมา </t>
  </si>
  <si>
    <t>ศูนย์ตรวจสอบภายใน</t>
  </si>
  <si>
    <t>4.4</t>
  </si>
  <si>
    <t>MA6801006</t>
  </si>
  <si>
    <t>รายงานการวิเคราะห์การจัดการทางการเงินเชิงกลยุทธ์ (Strategic Financial Management) ที่เป็นปัจจุบันเพื่อการบริหาร</t>
  </si>
  <si>
    <t xml:space="preserve">มี/ไม่มี </t>
  </si>
  <si>
    <t>มี</t>
  </si>
  <si>
    <t>4.5</t>
  </si>
  <si>
    <t>MA6801007</t>
  </si>
  <si>
    <t>การบริหารจัดการ Global Talent ที่เป็นไปตามแผน</t>
  </si>
  <si>
    <t>4.5.1</t>
  </si>
  <si>
    <t>MA6801008</t>
  </si>
  <si>
    <t>ร้อยละของ Global Talent (Attraction Rate)</t>
  </si>
  <si>
    <t>กองทรัพยากรบุคคล</t>
  </si>
  <si>
    <t>MA6801009</t>
  </si>
  <si>
    <t>- จำนวนบุคลากรที่เป็น Global Talent</t>
  </si>
  <si>
    <t>MA6801010</t>
  </si>
  <si>
    <t>- จำนวนบุคลากรทั้งหมดที่เป็นกลุ่มเป้าหมายที่มหาวิทยาลัยกำหนด</t>
  </si>
  <si>
    <t>4.5.2</t>
  </si>
  <si>
    <t>MA6801011</t>
  </si>
  <si>
    <t>อัตราการคงอยู่ตามสัญญาจ้างของ Global Talent สายวิชาการ</t>
  </si>
  <si>
    <t>MA6801012</t>
  </si>
  <si>
    <t>- จำนวนบุคลากรที่่เป็น Global Talent (ข้อมูล ณ เดือนกันยายน 2568)</t>
  </si>
  <si>
    <t>MA6801013</t>
  </si>
  <si>
    <t>- จำนวนบุคลากรที่่เป็น Global Talent (ข้อมูล ณ เดือนตุลาคม 2567)</t>
  </si>
  <si>
    <t>4.6</t>
  </si>
  <si>
    <t>MA6801020</t>
  </si>
  <si>
    <t>ระดับความสำเร็จของแผนการเป็น Digital Transformation</t>
  </si>
  <si>
    <t>4.6.1</t>
  </si>
  <si>
    <t>MA6801021</t>
  </si>
  <si>
    <t>การจัดการธรรมาภิบาลข้อมูล (Data Governance) เพื่อรองรับการเชื่อมโยงและใช้ข้อมูลพันธกิจหลัก</t>
  </si>
  <si>
    <t>กองเทคโนโลยีสาร สนเทศ/ศูนย์ธรรมาภิบาล ข้อมูลและยุทธศาสตร์อัจฉริยะ</t>
  </si>
  <si>
    <t>N/A</t>
  </si>
  <si>
    <t>4.6.2</t>
  </si>
  <si>
    <t>MA6801022</t>
  </si>
  <si>
    <t>การนำมาตรฐานมาใช้ใน Cyber Protection and Resilience ของส่วนกลาง และส่วนงานที่มีการจัดการข้อมูลสุขภาพ</t>
  </si>
  <si>
    <t>กองเทคโนโลยีสารสนเทศ</t>
  </si>
  <si>
    <t>4.6.4</t>
  </si>
  <si>
    <t>MA6801024</t>
  </si>
  <si>
    <t>Digital Training ให้กับ IT Man เพื่อก้าวทันการเปลี่ยนแปลงทางโลกดิจิทัล (% ส่วนงานรับการอบรม)</t>
  </si>
  <si>
    <t>MA6801025</t>
  </si>
  <si>
    <t>- จำนวนบุคลากร IT Man ที่ได้รับการพัฒนา</t>
  </si>
  <si>
    <t>MA6801026</t>
  </si>
  <si>
    <t>- จำนวนบุคลากร IT Man ทั้งหมด</t>
  </si>
  <si>
    <t>กองแผนงาน</t>
  </si>
  <si>
    <t>4.10</t>
  </si>
  <si>
    <t>MA6801031</t>
  </si>
  <si>
    <t>ประสิทธิภาพการใช้งบประมาณ เมื่อจบปีงบประมาณ</t>
  </si>
  <si>
    <t>4.10.1</t>
  </si>
  <si>
    <t>MA6801032</t>
  </si>
  <si>
    <t>ประสิทธิภาพการใช้งบประมาณแผ่นดิน เมื่อจบปีงบประมาณ</t>
  </si>
  <si>
    <t>4.10.2</t>
  </si>
  <si>
    <t>MA6801033</t>
  </si>
  <si>
    <t>ประสิทธิภาพการใช้งบประมาณเงินรายได้ เมื่อจบปีงบประมาณ</t>
  </si>
  <si>
    <t>4.11</t>
  </si>
  <si>
    <t>MA6801034</t>
  </si>
  <si>
    <t>ประสิทธิภาพการดำเนินงานด้านการเงิน</t>
  </si>
  <si>
    <t>4.11.1</t>
  </si>
  <si>
    <t>MA6801035</t>
  </si>
  <si>
    <t>ค่า EBITDA เป็นบวก</t>
  </si>
  <si>
    <t>ส่วนงาน/กองคลัง</t>
  </si>
  <si>
    <t>เป็นบวก</t>
  </si>
  <si>
    <t>4.11.2</t>
  </si>
  <si>
    <t>MA6801036</t>
  </si>
  <si>
    <t>ค่า Net Income (กำไรสุทธิ) เป็นบวก</t>
  </si>
  <si>
    <t>4.11.3</t>
  </si>
  <si>
    <t>MA6801037</t>
  </si>
  <si>
    <t>ค่า Net Profit Margin มากกว่าร้อยละ 5</t>
  </si>
  <si>
    <t>4.11.4</t>
  </si>
  <si>
    <t>MA6801038</t>
  </si>
  <si>
    <t>ค่า ROA มากกว่าร้อยละ 5</t>
  </si>
  <si>
    <t>4.12</t>
  </si>
  <si>
    <t>MA6801039</t>
  </si>
  <si>
    <t>ร้อยละของห้องปฏิบัติการที่มีการใช้สารเคมีได้รับการรับรองมาตรฐานห้องปฏิบัติการปลอดภัยในรูปแบบ Peer Evaluation</t>
  </si>
  <si>
    <t>ศูนย์ COSHEM</t>
  </si>
  <si>
    <t>MA6801040</t>
  </si>
  <si>
    <t>- จำนวนห้องปฏิบัติการที่ใช้สารเคมีได้รับการรับรองมาตรฐานห้องปฏิบัติการ
ปลอดภัยในรูปแบบ Peer Evaluation</t>
  </si>
  <si>
    <t>ห้อง</t>
  </si>
  <si>
    <t>MA6801041</t>
  </si>
  <si>
    <t>- จำนวนห้องปฏิบัติการที่ใช้สารเคมีทั้งหมดของส่วนงาน</t>
  </si>
  <si>
    <t>4.13</t>
  </si>
  <si>
    <t>MA6801042</t>
  </si>
  <si>
    <t>ความสำเร็จของกิจกรรมส่งเสริมค่านิยมองค์กร (Core Values)</t>
  </si>
  <si>
    <t>4.16</t>
  </si>
  <si>
    <t>MA6801045</t>
  </si>
  <si>
    <t>ตัวชี้วัดความยั่งยืนด้านสิ่งแวดล้อม การใช้ทรัพยากร การลดปริมาณขยะ และการปล่อยก๊าซเรือนกระจก</t>
  </si>
  <si>
    <t>4.16.1</t>
  </si>
  <si>
    <t>MA6801046</t>
  </si>
  <si>
    <t>ปริมาณขยะทั่วไปทั้งหมด</t>
  </si>
  <si>
    <t>กก./คน/วัน</t>
  </si>
  <si>
    <t>MA6801047</t>
  </si>
  <si>
    <t>- ปริมาณขยะทั่วไป</t>
  </si>
  <si>
    <t>กิโลกรัม</t>
  </si>
  <si>
    <t>MA6801048</t>
  </si>
  <si>
    <t>- จำนวนบุคลากรและนักศึกษา</t>
  </si>
  <si>
    <t>MA6801049</t>
  </si>
  <si>
    <t>- จำนวนวันทำงาน</t>
  </si>
  <si>
    <t>4.16.2</t>
  </si>
  <si>
    <t>MA6801050</t>
  </si>
  <si>
    <t>ร้อยละการรีไซเคิลเทียบกับขยะทั้งหมด</t>
  </si>
  <si>
    <t>MA6801051</t>
  </si>
  <si>
    <t>- ปริมาณขยะรีไซเคิล</t>
  </si>
  <si>
    <t>MA6801052</t>
  </si>
  <si>
    <t>- ปริมาณขยะทั้งหมด</t>
  </si>
  <si>
    <t>4.16.3</t>
  </si>
  <si>
    <t>MA6801053</t>
  </si>
  <si>
    <t>ปริมาณการปล่อยก๊าซเรือนกะจกทุกขอบเขต</t>
  </si>
  <si>
    <t>MA6801054</t>
  </si>
  <si>
    <t>- ปริมาณการปล่อยก๊าซเรือนกระจกทุกขอบเขต</t>
  </si>
  <si>
    <t>4.17</t>
  </si>
  <si>
    <t>MA6801055</t>
  </si>
  <si>
    <t>อัตราผลตอบแทนที่ได้จากการลงทุน (Return on Financial Investment) โดยคิดคำนวณจากวิธี Time-Weighted Return</t>
  </si>
  <si>
    <t>ศูนย์บริหารสินทรัพย์</t>
  </si>
  <si>
    <t>4.18</t>
  </si>
  <si>
    <t>MA6801056</t>
  </si>
  <si>
    <t>ความผาสุกและสุขภาพของบุคลากร (Well-being)</t>
  </si>
  <si>
    <t>4.18.1</t>
  </si>
  <si>
    <t>MA6801057</t>
  </si>
  <si>
    <t>ระดับความอยู่ดีมีสุขของบุคลากร (Well-being)</t>
  </si>
  <si>
    <t>4.18.2</t>
  </si>
  <si>
    <t>MA6801058</t>
  </si>
  <si>
    <t>ระดับการรับรู้ที่เพิ่มขึ้นในการดูแลความเป็นอยู่และสุขภาพ</t>
  </si>
  <si>
    <t>ปีการศึกษา</t>
  </si>
  <si>
    <t>งานการศึกษา</t>
  </si>
  <si>
    <t>ยุทธศาสตร์ที่ 2</t>
  </si>
  <si>
    <t>ส่วนงาน/กองแผนงาน/กองวิเทศสัมพันธ์</t>
  </si>
  <si>
    <t>ส่วนงาน/กองแผนงาน</t>
  </si>
  <si>
    <t>ส่วนงาน/กองวิเทศสัมพันธ์</t>
  </si>
  <si>
    <t>ยุทธศาสตร์ที่ 3</t>
  </si>
  <si>
    <t>งานพัฒนามาตรฐานและธำรงคุณภาพ</t>
  </si>
  <si>
    <t>ศูนย์เฝ้าระวังฯ</t>
  </si>
  <si>
    <t>งานนโยบายฯ</t>
  </si>
  <si>
    <t>งานคลังฯ</t>
  </si>
  <si>
    <t>งาน HR</t>
  </si>
  <si>
    <t>งาน IT</t>
  </si>
  <si>
    <t>งานพัฒนาคุณภาพฯ</t>
  </si>
  <si>
    <t>งานพลาธิการฯ</t>
  </si>
  <si>
    <t>ยุทธศาสตร์ที่ 4</t>
  </si>
  <si>
    <t>2.1.1</t>
  </si>
  <si>
    <t>2.1.2</t>
  </si>
  <si>
    <t>ระดับ 3 การจัดการเรียนการสอนข้ามศาสตร์ขึ้นไป หรือเทียบเท่า</t>
  </si>
  <si>
    <t>ระดับ 2 การจัดการเรียนการสอนเฉพาะกลุ่ม หรือเทียบเท่า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</si>
</sst>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rgb="FFEA99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A9999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0" fontId="18" fillId="0" borderId="0" xfId="0" applyFont="1" applyAlignment="1">
      <alignment vertical="top"/>
    </xf>
    <xf numFmtId="0" fontId="18" fillId="0" borderId="0" xfId="0" applyFont="1" applyAlignment="1">
      <alignment horizontal="left" vertical="top"/>
    </xf>
    <xf numFmtId="0" fontId="18" fillId="0" borderId="0" xfId="0" applyFont="1" applyBorder="1" applyAlignment="1">
      <alignment vertical="top"/>
    </xf>
    <xf numFmtId="0" fontId="18" fillId="0" borderId="0" xfId="0" applyFont="1" applyBorder="1" applyAlignment="1">
      <alignment horizontal="left" vertical="top"/>
    </xf>
    <xf numFmtId="0" fontId="20" fillId="0" borderId="0" xfId="0" applyFont="1" applyBorder="1" applyAlignment="1">
      <alignment vertical="top"/>
    </xf>
    <xf numFmtId="0" fontId="18" fillId="0" borderId="0" xfId="0" applyFont="1" applyBorder="1" applyAlignment="1">
      <alignment horizontal="right" vertical="top" wrapText="1"/>
    </xf>
    <xf numFmtId="0" fontId="18" fillId="33" borderId="10" xfId="0" applyFont="1" applyFill="1" applyBorder="1" applyAlignment="1">
      <alignment horizontal="left" vertical="top"/>
    </xf>
    <xf numFmtId="0" fontId="18" fillId="35" borderId="10" xfId="0" applyFont="1" applyFill="1" applyBorder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6" borderId="10" xfId="0" applyFont="1" applyFill="1" applyBorder="1" applyAlignment="1">
      <alignment horizontal="left" vertical="top"/>
    </xf>
    <xf numFmtId="0" fontId="19" fillId="4" borderId="10" xfId="8" applyFont="1" applyBorder="1" applyAlignment="1">
      <alignment horizontal="left" vertical="top"/>
    </xf>
    <xf numFmtId="0" fontId="20" fillId="37" borderId="0" xfId="0" applyFont="1" applyFill="1" applyBorder="1" applyAlignment="1">
      <alignment horizontal="left" vertical="top"/>
    </xf>
    <xf numFmtId="0" fontId="20" fillId="38" borderId="0" xfId="0" applyFont="1" applyFill="1" applyBorder="1" applyAlignment="1">
      <alignment horizontal="left" vertical="top"/>
    </xf>
    <xf numFmtId="0" fontId="20" fillId="39" borderId="0" xfId="0" applyFont="1" applyFill="1" applyBorder="1" applyAlignment="1">
      <alignment horizontal="left" vertical="top"/>
    </xf>
    <xf numFmtId="2" fontId="20" fillId="37" borderId="0" xfId="0" applyNumberFormat="1" applyFont="1" applyFill="1" applyBorder="1" applyAlignment="1">
      <alignment horizontal="left" vertical="top"/>
    </xf>
    <xf numFmtId="3" fontId="20" fillId="37" borderId="0" xfId="0" applyNumberFormat="1" applyFont="1" applyFill="1" applyBorder="1" applyAlignment="1">
      <alignment horizontal="left" vertical="top"/>
    </xf>
    <xf numFmtId="4" fontId="20" fillId="37" borderId="0" xfId="0" applyNumberFormat="1" applyFont="1" applyFill="1" applyBorder="1" applyAlignment="1">
      <alignment horizontal="left" vertical="top"/>
    </xf>
    <xf numFmtId="0" fontId="20" fillId="0" borderId="0" xfId="0" applyFont="1" applyBorder="1" applyAlignment="1">
      <alignment horizontal="left" vertical="top"/>
    </xf>
    <xf numFmtId="0" fontId="20" fillId="37" borderId="0" xfId="0" applyFont="1" applyFill="1" applyBorder="1" applyAlignment="1">
      <alignment horizontal="left" vertical="top" wrapText="1"/>
    </xf>
    <xf numFmtId="0" fontId="18" fillId="37" borderId="0" xfId="0" applyFont="1" applyFill="1" applyBorder="1" applyAlignment="1">
      <alignment horizontal="left" vertical="top"/>
    </xf>
    <xf numFmtId="49" fontId="20" fillId="0" borderId="0" xfId="0" applyNumberFormat="1" applyFont="1" applyBorder="1" applyAlignment="1">
      <alignment horizontal="left" vertical="top"/>
    </xf>
    <xf numFmtId="0" fontId="18" fillId="0" borderId="0" xfId="0" applyFont="1" applyFill="1" applyBorder="1" applyAlignment="1">
      <alignment horizontal="left" vertical="top"/>
    </xf>
    <xf numFmtId="49" fontId="20" fillId="0" borderId="0" xfId="0" applyNumberFormat="1" applyFont="1" applyFill="1" applyBorder="1" applyAlignment="1">
      <alignment horizontal="left" vertical="top"/>
    </xf>
    <xf numFmtId="0" fontId="20" fillId="0" borderId="0" xfId="0" applyFont="1" applyFill="1" applyBorder="1" applyAlignment="1">
      <alignment horizontal="left" vertical="top"/>
    </xf>
    <xf numFmtId="3" fontId="20" fillId="0" borderId="0" xfId="0" applyNumberFormat="1" applyFont="1" applyFill="1" applyBorder="1" applyAlignment="1">
      <alignment horizontal="left" vertical="top"/>
    </xf>
    <xf numFmtId="0" fontId="18" fillId="0" borderId="0" xfId="0" applyFont="1" applyFill="1" applyBorder="1" applyAlignment="1">
      <alignment vertical="top"/>
    </xf>
    <xf numFmtId="0" fontId="20" fillId="0" borderId="0" xfId="0" applyFont="1" applyFill="1" applyBorder="1" applyAlignment="1">
      <alignment vertical="top"/>
    </xf>
    <xf numFmtId="1" fontId="20" fillId="0" borderId="0" xfId="0" applyNumberFormat="1" applyFont="1" applyFill="1" applyBorder="1" applyAlignment="1">
      <alignment horizontal="left" vertical="top"/>
    </xf>
    <xf numFmtId="0" fontId="18" fillId="40" borderId="0" xfId="0" applyFont="1" applyFill="1" applyBorder="1" applyAlignment="1">
      <alignment horizontal="left" vertical="top"/>
    </xf>
    <xf numFmtId="0" fontId="19" fillId="40" borderId="0" xfId="0" applyFont="1" applyFill="1" applyBorder="1" applyAlignment="1">
      <alignment vertical="top"/>
    </xf>
    <xf numFmtId="0" fontId="20" fillId="41" borderId="0" xfId="0" applyFont="1" applyFill="1" applyBorder="1" applyAlignment="1">
      <alignment horizontal="left" vertical="top"/>
    </xf>
    <xf numFmtId="1" fontId="20" fillId="41" borderId="0" xfId="0" applyNumberFormat="1" applyFont="1" applyFill="1" applyBorder="1" applyAlignment="1">
      <alignment horizontal="left" vertical="top"/>
    </xf>
    <xf numFmtId="0" fontId="18" fillId="40" borderId="0" xfId="0" applyFont="1" applyFill="1" applyBorder="1" applyAlignment="1">
      <alignment vertical="top"/>
    </xf>
    <xf numFmtId="0" fontId="20" fillId="40" borderId="0" xfId="0" applyFont="1" applyFill="1" applyBorder="1" applyAlignment="1">
      <alignment vertical="top"/>
    </xf>
    <xf numFmtId="49" fontId="20" fillId="41" borderId="0" xfId="0" applyNumberFormat="1" applyFont="1" applyFill="1" applyBorder="1" applyAlignment="1">
      <alignment horizontal="left" vertical="top"/>
    </xf>
    <xf numFmtId="4" fontId="20" fillId="41" borderId="0" xfId="0" applyNumberFormat="1" applyFont="1" applyFill="1" applyBorder="1" applyAlignment="1">
      <alignment horizontal="left" vertical="top"/>
    </xf>
    <xf numFmtId="2" fontId="20" fillId="41" borderId="0" xfId="0" applyNumberFormat="1" applyFont="1" applyFill="1" applyBorder="1" applyAlignment="1">
      <alignment horizontal="left" vertical="top"/>
    </xf>
    <xf numFmtId="49" fontId="20" fillId="41" borderId="0" xfId="0" applyNumberFormat="1" applyFont="1" applyFill="1" applyBorder="1" applyAlignment="1">
      <alignment vertical="top"/>
    </xf>
    <xf numFmtId="0" fontId="20" fillId="41" borderId="0" xfId="0" applyFont="1" applyFill="1" applyBorder="1" applyAlignment="1">
      <alignment horizontal="left" vertical="top" wrapText="1"/>
    </xf>
    <xf numFmtId="49" fontId="20" fillId="0" borderId="0" xfId="0" applyNumberFormat="1" applyFont="1" applyFill="1" applyBorder="1" applyAlignment="1">
      <alignment vertical="top"/>
    </xf>
    <xf numFmtId="0" fontId="20" fillId="0" borderId="0" xfId="0" applyFont="1" applyFill="1" applyBorder="1" applyAlignment="1">
      <alignment horizontal="left" vertical="top" wrapText="1"/>
    </xf>
    <xf numFmtId="4" fontId="20" fillId="0" borderId="0" xfId="0" applyNumberFormat="1" applyFont="1" applyFill="1" applyBorder="1" applyAlignment="1">
      <alignment horizontal="left" vertical="top"/>
    </xf>
    <xf numFmtId="2" fontId="20" fillId="0" borderId="0" xfId="0" applyNumberFormat="1" applyFont="1" applyFill="1" applyBorder="1" applyAlignment="1">
      <alignment horizontal="left" vertical="top"/>
    </xf>
    <xf numFmtId="0" fontId="18" fillId="0" borderId="0" xfId="0" applyFont="1" applyFill="1" applyBorder="1" applyAlignment="1">
      <alignment horizontal="left" vertical="top" wrapText="1"/>
    </xf>
    <xf numFmtId="0" fontId="20" fillId="0" borderId="0" xfId="0" quotePrefix="1" applyFont="1" applyFill="1" applyBorder="1" applyAlignment="1">
      <alignment horizontal="left" vertical="top" wrapText="1"/>
    </xf>
    <xf numFmtId="4" fontId="20" fillId="0" borderId="0" xfId="0" applyNumberFormat="1" applyFont="1" applyFill="1" applyBorder="1" applyAlignment="1">
      <alignment horizontal="left" vertical="top" wrapText="1"/>
    </xf>
    <xf numFmtId="0" fontId="20" fillId="0" borderId="0" xfId="0" quotePrefix="1" applyFont="1" applyFill="1" applyBorder="1" applyAlignment="1">
      <alignment horizontal="left" vertical="top"/>
    </xf>
    <xf numFmtId="0" fontId="20" fillId="42" borderId="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 wrapText="1"/>
    </xf>
    <xf numFmtId="0" fontId="18" fillId="35" borderId="10" xfId="0" applyFont="1" applyFill="1" applyBorder="1" applyAlignment="1">
      <alignment horizontal="left" vertical="top" wrapText="1"/>
    </xf>
    <xf numFmtId="0" fontId="18" fillId="34" borderId="10" xfId="0" applyFont="1" applyFill="1" applyBorder="1" applyAlignment="1">
      <alignment horizontal="left" vertical="top" wrapText="1"/>
    </xf>
    <xf numFmtId="0" fontId="18" fillId="36" borderId="10" xfId="0" applyFont="1" applyFill="1" applyBorder="1" applyAlignment="1">
      <alignment horizontal="left" vertical="top" wrapText="1"/>
    </xf>
    <xf numFmtId="0" fontId="19" fillId="4" borderId="10" xfId="8" applyFont="1" applyBorder="1" applyAlignment="1">
      <alignment horizontal="left" vertical="top" wrapText="1"/>
    </xf>
    <xf numFmtId="0" fontId="0" fillId="0" borderId="0" xfId="0" applyAlignment="1">
      <alignment wrapText="1"/>
    </xf>
    <xf numFmtId="49" fontId="20" fillId="0" borderId="0" xfId="0" applyNumberFormat="1" applyFont="1" applyFill="1" applyBorder="1" applyAlignment="1">
      <alignment horizontal="left" vertical="top" wrapText="1"/>
    </xf>
    <xf numFmtId="3" fontId="20" fillId="0" borderId="0" xfId="0" applyNumberFormat="1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7C8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1DDE-0580-4F16-83AE-B94B5193E990}">
  <dimension ref="A1:V134"/>
  <sheetViews>
    <sheetView workbookViewId="0">
      <selection sqref="A1:N2"/>
    </sheetView>
  </sheetViews>
  <sheetFormatPr defaultColWidth="9" defaultRowHeight="14.25"/>
  <cols>
    <col min="1" max="1" width="20.19921875" style="2" bestFit="1" customWidth="1"/>
    <col min="2" max="2" width="9.3984375" style="2" bestFit="1" customWidth="1"/>
    <col min="3" max="3" width="17" style="2" bestFit="1" customWidth="1"/>
    <col min="4" max="4" width="138.19921875" style="2" bestFit="1" customWidth="1"/>
    <col min="5" max="5" width="13.19921875" style="2" bestFit="1" customWidth="1"/>
    <col min="6" max="6" width="16.796875" style="2" bestFit="1" customWidth="1"/>
    <col min="7" max="7" width="7.796875" style="2" bestFit="1" customWidth="1"/>
    <col min="8" max="8" width="36.59765625" style="2" bestFit="1" customWidth="1"/>
    <col min="9" max="9" width="47.19921875" style="2" bestFit="1" customWidth="1"/>
    <col min="10" max="10" width="14.796875" style="2" bestFit="1" customWidth="1"/>
    <col min="11" max="14" width="10.59765625" style="2" customWidth="1"/>
    <col min="15" max="16384" width="9" style="1"/>
  </cols>
  <sheetData>
    <row r="1" spans="1:2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1" t="s">
        <v>13</v>
      </c>
    </row>
    <row r="2" spans="1:22" s="27" customFormat="1">
      <c r="A2" s="22" t="s">
        <v>22</v>
      </c>
      <c r="B2" s="23" t="s">
        <v>23</v>
      </c>
      <c r="C2" s="24" t="s">
        <v>14</v>
      </c>
      <c r="D2" s="24" t="s">
        <v>15</v>
      </c>
      <c r="E2" s="24" t="s">
        <v>16</v>
      </c>
      <c r="F2" s="22" t="s">
        <v>19</v>
      </c>
      <c r="G2" s="22">
        <v>2568</v>
      </c>
      <c r="H2" s="22" t="s">
        <v>17</v>
      </c>
      <c r="I2" s="22" t="s">
        <v>21</v>
      </c>
      <c r="J2" s="25">
        <v>60</v>
      </c>
      <c r="K2" s="25" t="s">
        <v>33</v>
      </c>
      <c r="L2" s="25">
        <v>25</v>
      </c>
      <c r="M2" s="25">
        <v>45</v>
      </c>
      <c r="N2" s="25"/>
      <c r="O2" s="26"/>
      <c r="P2" s="26"/>
      <c r="Q2" s="26"/>
      <c r="R2" s="26"/>
      <c r="S2" s="26"/>
      <c r="T2" s="26"/>
      <c r="U2" s="26"/>
      <c r="V2" s="26"/>
    </row>
    <row r="3" spans="1:22" s="27" customFormat="1">
      <c r="A3" s="22" t="s">
        <v>22</v>
      </c>
      <c r="B3" s="23" t="s">
        <v>24</v>
      </c>
      <c r="C3" s="24" t="s">
        <v>18</v>
      </c>
      <c r="D3" s="24" t="s">
        <v>25</v>
      </c>
      <c r="E3" s="24" t="s">
        <v>16</v>
      </c>
      <c r="F3" s="22" t="s">
        <v>19</v>
      </c>
      <c r="G3" s="22">
        <v>2568</v>
      </c>
      <c r="H3" s="22" t="s">
        <v>17</v>
      </c>
      <c r="I3" s="22" t="s">
        <v>21</v>
      </c>
      <c r="J3" s="28">
        <v>40</v>
      </c>
      <c r="K3" s="25" t="s">
        <v>33</v>
      </c>
      <c r="L3" s="25">
        <v>23</v>
      </c>
      <c r="M3" s="25">
        <v>38</v>
      </c>
      <c r="N3" s="25"/>
      <c r="O3" s="26"/>
      <c r="P3" s="26"/>
      <c r="Q3" s="26"/>
      <c r="R3" s="26"/>
      <c r="S3" s="26"/>
      <c r="T3" s="26"/>
      <c r="U3" s="26"/>
      <c r="V3" s="26"/>
    </row>
    <row r="4" spans="1:22" s="27" customFormat="1">
      <c r="A4" s="22" t="s">
        <v>22</v>
      </c>
      <c r="B4" s="23" t="s">
        <v>26</v>
      </c>
      <c r="C4" s="24" t="s">
        <v>27</v>
      </c>
      <c r="D4" s="24" t="s">
        <v>28</v>
      </c>
      <c r="E4" s="24" t="s">
        <v>16</v>
      </c>
      <c r="F4" s="22" t="s">
        <v>19</v>
      </c>
      <c r="G4" s="22">
        <v>2568</v>
      </c>
      <c r="H4" s="22" t="s">
        <v>17</v>
      </c>
      <c r="I4" s="22" t="s">
        <v>21</v>
      </c>
      <c r="J4" s="28" t="s">
        <v>33</v>
      </c>
      <c r="K4" s="25" t="s">
        <v>33</v>
      </c>
      <c r="L4" s="25">
        <v>11</v>
      </c>
      <c r="M4" s="25">
        <v>15</v>
      </c>
      <c r="N4" s="25"/>
      <c r="O4" s="26"/>
      <c r="P4" s="26"/>
      <c r="Q4" s="26"/>
      <c r="R4" s="26"/>
      <c r="S4" s="26"/>
      <c r="T4" s="26"/>
      <c r="U4" s="26"/>
      <c r="V4" s="26"/>
    </row>
    <row r="5" spans="1:22" s="27" customFormat="1">
      <c r="A5" s="22" t="s">
        <v>22</v>
      </c>
      <c r="B5" s="23" t="s">
        <v>29</v>
      </c>
      <c r="C5" s="24" t="s">
        <v>30</v>
      </c>
      <c r="D5" s="24" t="s">
        <v>31</v>
      </c>
      <c r="E5" s="24" t="s">
        <v>16</v>
      </c>
      <c r="F5" s="22" t="s">
        <v>19</v>
      </c>
      <c r="G5" s="22">
        <v>2568</v>
      </c>
      <c r="H5" s="22" t="s">
        <v>17</v>
      </c>
      <c r="I5" s="22" t="s">
        <v>21</v>
      </c>
      <c r="J5" s="28">
        <v>28</v>
      </c>
      <c r="K5" s="25" t="s">
        <v>33</v>
      </c>
      <c r="L5" s="25">
        <v>8</v>
      </c>
      <c r="M5" s="25">
        <v>11</v>
      </c>
      <c r="N5" s="25"/>
      <c r="O5" s="26"/>
      <c r="P5" s="26"/>
      <c r="Q5" s="26"/>
      <c r="R5" s="26"/>
      <c r="S5" s="26"/>
      <c r="T5" s="26"/>
      <c r="U5" s="26"/>
      <c r="V5" s="26"/>
    </row>
    <row r="6" spans="1:22" s="27" customFormat="1">
      <c r="A6" s="22" t="s">
        <v>22</v>
      </c>
      <c r="B6" s="23" t="s">
        <v>34</v>
      </c>
      <c r="C6" s="24" t="s">
        <v>35</v>
      </c>
      <c r="D6" s="24" t="s">
        <v>36</v>
      </c>
      <c r="E6" s="24" t="s">
        <v>16</v>
      </c>
      <c r="F6" s="22" t="s">
        <v>19</v>
      </c>
      <c r="G6" s="22">
        <v>2568</v>
      </c>
      <c r="H6" s="22" t="s">
        <v>17</v>
      </c>
      <c r="I6" s="22" t="s">
        <v>21</v>
      </c>
      <c r="J6" s="28" t="s">
        <v>33</v>
      </c>
      <c r="K6" s="25" t="s">
        <v>33</v>
      </c>
      <c r="L6" s="24">
        <v>0</v>
      </c>
      <c r="M6" s="24">
        <v>0</v>
      </c>
      <c r="N6" s="24"/>
      <c r="O6" s="26"/>
      <c r="P6" s="26"/>
      <c r="Q6" s="26"/>
      <c r="R6" s="26"/>
      <c r="S6" s="26"/>
      <c r="T6" s="26"/>
      <c r="U6" s="26"/>
      <c r="V6" s="26"/>
    </row>
    <row r="7" spans="1:22" s="5" customFormat="1" ht="43.5" customHeight="1">
      <c r="A7" s="4" t="s">
        <v>328</v>
      </c>
      <c r="B7" s="40" t="s">
        <v>37</v>
      </c>
      <c r="C7" s="24" t="s">
        <v>38</v>
      </c>
      <c r="D7" s="41" t="s">
        <v>39</v>
      </c>
      <c r="E7" s="24" t="s">
        <v>40</v>
      </c>
      <c r="F7" s="24" t="s">
        <v>20</v>
      </c>
      <c r="G7" s="24">
        <v>2568</v>
      </c>
      <c r="H7" s="24" t="s">
        <v>41</v>
      </c>
      <c r="I7" s="24" t="s">
        <v>327</v>
      </c>
      <c r="J7" s="12"/>
      <c r="K7" s="12"/>
      <c r="L7" s="12"/>
      <c r="M7" s="12"/>
      <c r="N7" s="12"/>
      <c r="O7" s="3"/>
      <c r="P7" s="3"/>
      <c r="Q7" s="3"/>
      <c r="R7" s="3"/>
      <c r="S7" s="3"/>
      <c r="T7" s="3"/>
      <c r="U7" s="3"/>
      <c r="V7" s="3"/>
    </row>
    <row r="8" spans="1:22" s="34" customFormat="1">
      <c r="A8" s="29" t="s">
        <v>328</v>
      </c>
      <c r="B8" s="30" t="s">
        <v>342</v>
      </c>
      <c r="C8" s="31" t="s">
        <v>42</v>
      </c>
      <c r="D8" s="31" t="s">
        <v>344</v>
      </c>
      <c r="E8" s="31" t="s">
        <v>40</v>
      </c>
      <c r="F8" s="31" t="s">
        <v>20</v>
      </c>
      <c r="G8" s="31">
        <v>2568</v>
      </c>
      <c r="H8" s="31" t="s">
        <v>41</v>
      </c>
      <c r="I8" s="31" t="s">
        <v>327</v>
      </c>
      <c r="J8" s="32">
        <v>1</v>
      </c>
      <c r="K8" s="31">
        <v>1</v>
      </c>
      <c r="L8" s="31">
        <v>1</v>
      </c>
      <c r="M8" s="31">
        <v>1</v>
      </c>
      <c r="N8" s="31"/>
      <c r="O8" s="33"/>
      <c r="P8" s="33"/>
      <c r="Q8" s="33"/>
      <c r="R8" s="33"/>
      <c r="S8" s="33"/>
      <c r="T8" s="33"/>
      <c r="U8" s="33"/>
      <c r="V8" s="33"/>
    </row>
    <row r="9" spans="1:22" s="34" customFormat="1">
      <c r="A9" s="29" t="s">
        <v>328</v>
      </c>
      <c r="B9" s="30" t="s">
        <v>343</v>
      </c>
      <c r="C9" s="31" t="s">
        <v>43</v>
      </c>
      <c r="D9" s="31" t="s">
        <v>345</v>
      </c>
      <c r="E9" s="31" t="s">
        <v>40</v>
      </c>
      <c r="F9" s="31" t="s">
        <v>20</v>
      </c>
      <c r="G9" s="31">
        <v>2568</v>
      </c>
      <c r="H9" s="31" t="s">
        <v>41</v>
      </c>
      <c r="I9" s="31" t="s">
        <v>327</v>
      </c>
      <c r="J9" s="32">
        <v>4</v>
      </c>
      <c r="K9" s="31">
        <v>0</v>
      </c>
      <c r="L9" s="31">
        <v>0</v>
      </c>
      <c r="M9" s="31">
        <v>0</v>
      </c>
      <c r="N9" s="31"/>
      <c r="O9" s="33"/>
      <c r="P9" s="33"/>
      <c r="Q9" s="33"/>
      <c r="R9" s="33"/>
      <c r="S9" s="33"/>
      <c r="T9" s="33"/>
      <c r="U9" s="33"/>
      <c r="V9" s="33"/>
    </row>
    <row r="10" spans="1:22" s="34" customFormat="1">
      <c r="A10" s="29" t="s">
        <v>328</v>
      </c>
      <c r="B10" s="35" t="s">
        <v>44</v>
      </c>
      <c r="C10" s="31" t="s">
        <v>45</v>
      </c>
      <c r="D10" s="31" t="s">
        <v>46</v>
      </c>
      <c r="E10" s="31" t="s">
        <v>47</v>
      </c>
      <c r="F10" s="31" t="s">
        <v>20</v>
      </c>
      <c r="G10" s="31">
        <v>2568</v>
      </c>
      <c r="H10" s="31" t="s">
        <v>48</v>
      </c>
      <c r="I10" s="31" t="s">
        <v>327</v>
      </c>
      <c r="J10" s="36">
        <v>0.31</v>
      </c>
      <c r="K10" s="37">
        <f t="shared" ref="K10:N10" si="0">(K12+K18+K19)/327*100</f>
        <v>0.3058103975535168</v>
      </c>
      <c r="L10" s="37">
        <f t="shared" si="0"/>
        <v>0.3058103975535168</v>
      </c>
      <c r="M10" s="37">
        <f t="shared" si="0"/>
        <v>0.3058103975535168</v>
      </c>
      <c r="N10" s="37">
        <f t="shared" si="0"/>
        <v>0</v>
      </c>
      <c r="O10" s="33"/>
      <c r="P10" s="33"/>
      <c r="Q10" s="33"/>
      <c r="R10" s="33"/>
      <c r="S10" s="33"/>
      <c r="T10" s="33"/>
      <c r="U10" s="33"/>
      <c r="V10" s="33"/>
    </row>
    <row r="11" spans="1:22" s="34" customFormat="1" ht="43.5" customHeight="1">
      <c r="A11" s="29" t="s">
        <v>328</v>
      </c>
      <c r="B11" s="38" t="s">
        <v>49</v>
      </c>
      <c r="C11" s="31" t="s">
        <v>50</v>
      </c>
      <c r="D11" s="39" t="s">
        <v>51</v>
      </c>
      <c r="E11" s="31" t="s">
        <v>47</v>
      </c>
      <c r="F11" s="31" t="s">
        <v>20</v>
      </c>
      <c r="G11" s="31">
        <v>2568</v>
      </c>
      <c r="H11" s="31" t="s">
        <v>48</v>
      </c>
      <c r="I11" s="31" t="s">
        <v>327</v>
      </c>
      <c r="J11" s="36">
        <v>1.27</v>
      </c>
      <c r="K11" s="37">
        <f t="shared" ref="K11:N11" si="1">K12/79*100</f>
        <v>1.2658227848101267</v>
      </c>
      <c r="L11" s="37">
        <f t="shared" si="1"/>
        <v>1.2658227848101267</v>
      </c>
      <c r="M11" s="37">
        <f t="shared" si="1"/>
        <v>1.2658227848101267</v>
      </c>
      <c r="N11" s="37">
        <f t="shared" si="1"/>
        <v>0</v>
      </c>
      <c r="O11" s="33"/>
      <c r="P11" s="33"/>
      <c r="Q11" s="33"/>
      <c r="R11" s="33"/>
      <c r="S11" s="33"/>
      <c r="T11" s="33"/>
      <c r="U11" s="33"/>
      <c r="V11" s="33"/>
    </row>
    <row r="12" spans="1:22" s="34" customFormat="1">
      <c r="A12" s="29" t="s">
        <v>328</v>
      </c>
      <c r="B12" s="38" t="s">
        <v>49</v>
      </c>
      <c r="C12" s="31" t="s">
        <v>52</v>
      </c>
      <c r="D12" s="31" t="s">
        <v>53</v>
      </c>
      <c r="E12" s="31" t="s">
        <v>54</v>
      </c>
      <c r="F12" s="31" t="s">
        <v>20</v>
      </c>
      <c r="G12" s="31">
        <v>2568</v>
      </c>
      <c r="H12" s="31" t="s">
        <v>48</v>
      </c>
      <c r="I12" s="31" t="s">
        <v>327</v>
      </c>
      <c r="J12" s="32">
        <v>1</v>
      </c>
      <c r="K12" s="31">
        <f t="shared" ref="K12:N12" si="2">K14+K16</f>
        <v>1</v>
      </c>
      <c r="L12" s="31">
        <f t="shared" si="2"/>
        <v>1</v>
      </c>
      <c r="M12" s="31">
        <f t="shared" si="2"/>
        <v>1</v>
      </c>
      <c r="N12" s="31">
        <f t="shared" si="2"/>
        <v>0</v>
      </c>
      <c r="O12" s="33"/>
      <c r="P12" s="33"/>
      <c r="Q12" s="33"/>
      <c r="R12" s="33"/>
      <c r="S12" s="33"/>
      <c r="T12" s="33"/>
      <c r="U12" s="33"/>
      <c r="V12" s="33"/>
    </row>
    <row r="13" spans="1:22" s="5" customFormat="1">
      <c r="A13" s="4" t="s">
        <v>328</v>
      </c>
      <c r="B13" s="38" t="s">
        <v>49</v>
      </c>
      <c r="C13" s="24" t="s">
        <v>55</v>
      </c>
      <c r="D13" s="24" t="s">
        <v>56</v>
      </c>
      <c r="E13" s="13"/>
      <c r="F13" s="14" t="s">
        <v>20</v>
      </c>
      <c r="G13" s="14">
        <v>2568</v>
      </c>
      <c r="H13" s="14" t="s">
        <v>48</v>
      </c>
      <c r="I13" s="14" t="s">
        <v>327</v>
      </c>
      <c r="J13" s="12"/>
      <c r="K13" s="12"/>
      <c r="L13" s="12"/>
      <c r="M13" s="12"/>
      <c r="N13" s="12"/>
      <c r="O13" s="3"/>
      <c r="P13" s="3"/>
      <c r="Q13" s="3"/>
      <c r="R13" s="3"/>
      <c r="S13" s="3"/>
      <c r="T13" s="3"/>
      <c r="U13" s="3"/>
      <c r="V13" s="3"/>
    </row>
    <row r="14" spans="1:22" s="27" customFormat="1">
      <c r="A14" s="22" t="s">
        <v>328</v>
      </c>
      <c r="B14" s="38" t="s">
        <v>49</v>
      </c>
      <c r="C14" s="24" t="s">
        <v>57</v>
      </c>
      <c r="D14" s="24" t="s">
        <v>53</v>
      </c>
      <c r="E14" s="24" t="s">
        <v>54</v>
      </c>
      <c r="F14" s="24" t="s">
        <v>20</v>
      </c>
      <c r="G14" s="24">
        <v>2568</v>
      </c>
      <c r="H14" s="24" t="s">
        <v>48</v>
      </c>
      <c r="I14" s="24" t="s">
        <v>327</v>
      </c>
      <c r="J14" s="28">
        <v>1</v>
      </c>
      <c r="K14" s="24">
        <v>1</v>
      </c>
      <c r="L14" s="24">
        <v>1</v>
      </c>
      <c r="M14" s="24">
        <v>1</v>
      </c>
      <c r="N14" s="24"/>
      <c r="O14" s="26"/>
      <c r="P14" s="26"/>
      <c r="Q14" s="26"/>
      <c r="R14" s="26"/>
      <c r="S14" s="26"/>
      <c r="T14" s="26"/>
      <c r="U14" s="26"/>
      <c r="V14" s="26"/>
    </row>
    <row r="15" spans="1:22" s="5" customFormat="1">
      <c r="A15" s="4" t="s">
        <v>328</v>
      </c>
      <c r="B15" s="38" t="s">
        <v>49</v>
      </c>
      <c r="C15" s="24" t="s">
        <v>58</v>
      </c>
      <c r="D15" s="24" t="s">
        <v>59</v>
      </c>
      <c r="E15" s="13"/>
      <c r="F15" s="14" t="s">
        <v>20</v>
      </c>
      <c r="G15" s="14">
        <v>2568</v>
      </c>
      <c r="H15" s="14" t="s">
        <v>48</v>
      </c>
      <c r="I15" s="14" t="s">
        <v>327</v>
      </c>
      <c r="J15" s="12"/>
      <c r="K15" s="12"/>
      <c r="L15" s="12"/>
      <c r="M15" s="12"/>
      <c r="N15" s="12"/>
      <c r="O15" s="3"/>
      <c r="P15" s="3"/>
      <c r="Q15" s="3"/>
      <c r="R15" s="3"/>
      <c r="S15" s="3"/>
      <c r="T15" s="3"/>
      <c r="U15" s="3"/>
      <c r="V15" s="3"/>
    </row>
    <row r="16" spans="1:22" s="27" customFormat="1">
      <c r="A16" s="22" t="s">
        <v>328</v>
      </c>
      <c r="B16" s="38" t="s">
        <v>49</v>
      </c>
      <c r="C16" s="24" t="s">
        <v>60</v>
      </c>
      <c r="D16" s="24" t="s">
        <v>53</v>
      </c>
      <c r="E16" s="24" t="s">
        <v>54</v>
      </c>
      <c r="F16" s="24" t="s">
        <v>20</v>
      </c>
      <c r="G16" s="24">
        <v>2568</v>
      </c>
      <c r="H16" s="24" t="s">
        <v>48</v>
      </c>
      <c r="I16" s="24" t="s">
        <v>327</v>
      </c>
      <c r="J16" s="28">
        <v>0</v>
      </c>
      <c r="K16" s="24">
        <v>0</v>
      </c>
      <c r="L16" s="24">
        <v>0</v>
      </c>
      <c r="M16" s="24">
        <v>0</v>
      </c>
      <c r="N16" s="24"/>
      <c r="O16" s="26"/>
      <c r="P16" s="26"/>
      <c r="Q16" s="26"/>
      <c r="R16" s="26"/>
      <c r="S16" s="26"/>
      <c r="T16" s="26"/>
      <c r="U16" s="26"/>
      <c r="V16" s="26"/>
    </row>
    <row r="17" spans="1:22" s="27" customFormat="1" ht="43.5" customHeight="1">
      <c r="A17" s="22" t="s">
        <v>328</v>
      </c>
      <c r="B17" s="40" t="s">
        <v>61</v>
      </c>
      <c r="C17" s="24" t="s">
        <v>62</v>
      </c>
      <c r="D17" s="41" t="s">
        <v>63</v>
      </c>
      <c r="E17" s="24" t="s">
        <v>47</v>
      </c>
      <c r="F17" s="24" t="s">
        <v>20</v>
      </c>
      <c r="G17" s="24">
        <v>2568</v>
      </c>
      <c r="H17" s="24" t="s">
        <v>48</v>
      </c>
      <c r="I17" s="24" t="s">
        <v>327</v>
      </c>
      <c r="J17" s="42" t="s">
        <v>64</v>
      </c>
      <c r="K17" s="43">
        <f t="shared" ref="K17:N17" si="3">(K18+K19)/248*100</f>
        <v>0</v>
      </c>
      <c r="L17" s="43">
        <f t="shared" si="3"/>
        <v>0</v>
      </c>
      <c r="M17" s="43">
        <f t="shared" si="3"/>
        <v>0</v>
      </c>
      <c r="N17" s="43">
        <f t="shared" si="3"/>
        <v>0</v>
      </c>
      <c r="O17" s="26"/>
      <c r="P17" s="26"/>
      <c r="Q17" s="26"/>
      <c r="R17" s="26"/>
      <c r="S17" s="26"/>
      <c r="T17" s="26"/>
      <c r="U17" s="26"/>
      <c r="V17" s="26"/>
    </row>
    <row r="18" spans="1:22" s="27" customFormat="1">
      <c r="A18" s="22" t="s">
        <v>328</v>
      </c>
      <c r="B18" s="40" t="s">
        <v>61</v>
      </c>
      <c r="C18" s="24" t="s">
        <v>65</v>
      </c>
      <c r="D18" s="24" t="s">
        <v>66</v>
      </c>
      <c r="E18" s="24" t="s">
        <v>54</v>
      </c>
      <c r="F18" s="24" t="s">
        <v>20</v>
      </c>
      <c r="G18" s="24">
        <v>2568</v>
      </c>
      <c r="H18" s="24" t="s">
        <v>48</v>
      </c>
      <c r="I18" s="24" t="s">
        <v>327</v>
      </c>
      <c r="J18" s="28" t="s">
        <v>33</v>
      </c>
      <c r="K18" s="24">
        <f t="shared" ref="K18:N19" si="4">K21+K24</f>
        <v>0</v>
      </c>
      <c r="L18" s="24">
        <f t="shared" si="4"/>
        <v>0</v>
      </c>
      <c r="M18" s="24">
        <f t="shared" si="4"/>
        <v>0</v>
      </c>
      <c r="N18" s="24">
        <f t="shared" si="4"/>
        <v>0</v>
      </c>
      <c r="O18" s="26"/>
      <c r="P18" s="26"/>
      <c r="Q18" s="26"/>
      <c r="R18" s="26"/>
      <c r="S18" s="26"/>
      <c r="T18" s="26"/>
      <c r="U18" s="26"/>
      <c r="V18" s="26"/>
    </row>
    <row r="19" spans="1:22" s="27" customFormat="1">
      <c r="A19" s="22" t="s">
        <v>328</v>
      </c>
      <c r="B19" s="40" t="s">
        <v>61</v>
      </c>
      <c r="C19" s="24" t="s">
        <v>67</v>
      </c>
      <c r="D19" s="24" t="s">
        <v>68</v>
      </c>
      <c r="E19" s="24" t="s">
        <v>54</v>
      </c>
      <c r="F19" s="24" t="s">
        <v>20</v>
      </c>
      <c r="G19" s="24">
        <v>2568</v>
      </c>
      <c r="H19" s="24" t="s">
        <v>48</v>
      </c>
      <c r="I19" s="24" t="s">
        <v>327</v>
      </c>
      <c r="J19" s="28" t="s">
        <v>33</v>
      </c>
      <c r="K19" s="24">
        <f t="shared" si="4"/>
        <v>0</v>
      </c>
      <c r="L19" s="24">
        <f t="shared" si="4"/>
        <v>0</v>
      </c>
      <c r="M19" s="24">
        <f t="shared" si="4"/>
        <v>0</v>
      </c>
      <c r="N19" s="24">
        <f t="shared" si="4"/>
        <v>0</v>
      </c>
      <c r="O19" s="26"/>
      <c r="P19" s="26"/>
      <c r="Q19" s="26"/>
      <c r="R19" s="26"/>
      <c r="S19" s="26"/>
      <c r="T19" s="26"/>
      <c r="U19" s="26"/>
      <c r="V19" s="26"/>
    </row>
    <row r="20" spans="1:22" s="5" customFormat="1">
      <c r="A20" s="4" t="s">
        <v>328</v>
      </c>
      <c r="B20" s="40" t="s">
        <v>61</v>
      </c>
      <c r="C20" s="24" t="s">
        <v>69</v>
      </c>
      <c r="D20" s="24" t="s">
        <v>56</v>
      </c>
      <c r="E20" s="13"/>
      <c r="F20" s="14" t="s">
        <v>20</v>
      </c>
      <c r="G20" s="14">
        <v>2568</v>
      </c>
      <c r="H20" s="14" t="s">
        <v>48</v>
      </c>
      <c r="I20" s="14" t="s">
        <v>327</v>
      </c>
      <c r="J20" s="12"/>
      <c r="K20" s="12"/>
      <c r="L20" s="12"/>
      <c r="M20" s="12"/>
      <c r="N20" s="12"/>
      <c r="O20" s="3"/>
      <c r="P20" s="3"/>
      <c r="Q20" s="3"/>
      <c r="R20" s="3"/>
      <c r="S20" s="3"/>
      <c r="T20" s="3"/>
      <c r="U20" s="3"/>
      <c r="V20" s="3"/>
    </row>
    <row r="21" spans="1:22" s="27" customFormat="1">
      <c r="A21" s="22" t="s">
        <v>328</v>
      </c>
      <c r="B21" s="40" t="s">
        <v>61</v>
      </c>
      <c r="C21" s="24" t="s">
        <v>70</v>
      </c>
      <c r="D21" s="24" t="s">
        <v>66</v>
      </c>
      <c r="E21" s="24" t="s">
        <v>54</v>
      </c>
      <c r="F21" s="24" t="s">
        <v>20</v>
      </c>
      <c r="G21" s="24">
        <v>2568</v>
      </c>
      <c r="H21" s="24" t="s">
        <v>48</v>
      </c>
      <c r="I21" s="24" t="s">
        <v>327</v>
      </c>
      <c r="J21" s="28" t="s">
        <v>33</v>
      </c>
      <c r="K21" s="24">
        <v>0</v>
      </c>
      <c r="L21" s="24">
        <v>0</v>
      </c>
      <c r="M21" s="24">
        <v>0</v>
      </c>
      <c r="N21" s="24"/>
      <c r="O21" s="26"/>
      <c r="P21" s="26"/>
      <c r="Q21" s="26"/>
      <c r="R21" s="26"/>
      <c r="S21" s="26"/>
      <c r="T21" s="26"/>
      <c r="U21" s="26"/>
      <c r="V21" s="26"/>
    </row>
    <row r="22" spans="1:22" s="27" customFormat="1">
      <c r="A22" s="22" t="s">
        <v>328</v>
      </c>
      <c r="B22" s="40" t="s">
        <v>61</v>
      </c>
      <c r="C22" s="24" t="s">
        <v>71</v>
      </c>
      <c r="D22" s="24" t="s">
        <v>68</v>
      </c>
      <c r="E22" s="24" t="s">
        <v>54</v>
      </c>
      <c r="F22" s="24" t="s">
        <v>20</v>
      </c>
      <c r="G22" s="24">
        <v>2568</v>
      </c>
      <c r="H22" s="24" t="s">
        <v>48</v>
      </c>
      <c r="I22" s="24" t="s">
        <v>327</v>
      </c>
      <c r="J22" s="28" t="s">
        <v>33</v>
      </c>
      <c r="K22" s="24">
        <v>0</v>
      </c>
      <c r="L22" s="24">
        <v>0</v>
      </c>
      <c r="M22" s="24">
        <v>0</v>
      </c>
      <c r="N22" s="24"/>
      <c r="O22" s="26"/>
      <c r="P22" s="26"/>
      <c r="Q22" s="26"/>
      <c r="R22" s="26"/>
      <c r="S22" s="26"/>
      <c r="T22" s="26"/>
      <c r="U22" s="26"/>
      <c r="V22" s="26"/>
    </row>
    <row r="23" spans="1:22" s="5" customFormat="1">
      <c r="A23" s="4" t="s">
        <v>328</v>
      </c>
      <c r="B23" s="40" t="s">
        <v>61</v>
      </c>
      <c r="C23" s="24" t="s">
        <v>72</v>
      </c>
      <c r="D23" s="24" t="s">
        <v>73</v>
      </c>
      <c r="E23" s="13"/>
      <c r="F23" s="14" t="s">
        <v>20</v>
      </c>
      <c r="G23" s="14">
        <v>2568</v>
      </c>
      <c r="H23" s="14" t="s">
        <v>48</v>
      </c>
      <c r="I23" s="14" t="s">
        <v>327</v>
      </c>
      <c r="J23" s="12"/>
      <c r="K23" s="12"/>
      <c r="L23" s="12"/>
      <c r="M23" s="12"/>
      <c r="N23" s="12"/>
      <c r="O23" s="3"/>
      <c r="P23" s="3"/>
      <c r="Q23" s="3"/>
      <c r="R23" s="3"/>
      <c r="S23" s="3"/>
      <c r="T23" s="3"/>
      <c r="U23" s="3"/>
      <c r="V23" s="3"/>
    </row>
    <row r="24" spans="1:22" s="27" customFormat="1">
      <c r="A24" s="22" t="s">
        <v>328</v>
      </c>
      <c r="B24" s="40" t="s">
        <v>61</v>
      </c>
      <c r="C24" s="24" t="s">
        <v>74</v>
      </c>
      <c r="D24" s="24" t="s">
        <v>66</v>
      </c>
      <c r="E24" s="24" t="s">
        <v>54</v>
      </c>
      <c r="F24" s="24" t="s">
        <v>20</v>
      </c>
      <c r="G24" s="24">
        <v>2568</v>
      </c>
      <c r="H24" s="24" t="s">
        <v>48</v>
      </c>
      <c r="I24" s="24" t="s">
        <v>327</v>
      </c>
      <c r="J24" s="28" t="s">
        <v>33</v>
      </c>
      <c r="K24" s="24">
        <v>0</v>
      </c>
      <c r="L24" s="24">
        <v>0</v>
      </c>
      <c r="M24" s="24">
        <v>0</v>
      </c>
      <c r="N24" s="24"/>
      <c r="O24" s="26"/>
      <c r="P24" s="26"/>
      <c r="Q24" s="26"/>
      <c r="R24" s="26"/>
      <c r="S24" s="26"/>
      <c r="T24" s="26"/>
      <c r="U24" s="26"/>
      <c r="V24" s="26"/>
    </row>
    <row r="25" spans="1:22" s="27" customFormat="1">
      <c r="A25" s="22" t="s">
        <v>328</v>
      </c>
      <c r="B25" s="40" t="s">
        <v>61</v>
      </c>
      <c r="C25" s="24" t="s">
        <v>75</v>
      </c>
      <c r="D25" s="24" t="s">
        <v>68</v>
      </c>
      <c r="E25" s="24" t="s">
        <v>54</v>
      </c>
      <c r="F25" s="24" t="s">
        <v>20</v>
      </c>
      <c r="G25" s="24">
        <v>2568</v>
      </c>
      <c r="H25" s="24" t="s">
        <v>48</v>
      </c>
      <c r="I25" s="24" t="s">
        <v>327</v>
      </c>
      <c r="J25" s="28" t="s">
        <v>33</v>
      </c>
      <c r="K25" s="24">
        <v>0</v>
      </c>
      <c r="L25" s="24">
        <v>0</v>
      </c>
      <c r="M25" s="24">
        <v>0</v>
      </c>
      <c r="N25" s="24"/>
      <c r="O25" s="26"/>
      <c r="P25" s="26"/>
      <c r="Q25" s="26"/>
      <c r="R25" s="26"/>
      <c r="S25" s="26"/>
      <c r="T25" s="26"/>
      <c r="U25" s="26"/>
      <c r="V25" s="26"/>
    </row>
    <row r="26" spans="1:22" s="27" customFormat="1" ht="43.5" customHeight="1">
      <c r="A26" s="22" t="s">
        <v>328</v>
      </c>
      <c r="B26" s="40" t="s">
        <v>76</v>
      </c>
      <c r="C26" s="24" t="s">
        <v>77</v>
      </c>
      <c r="D26" s="41" t="s">
        <v>78</v>
      </c>
      <c r="E26" s="24" t="s">
        <v>47</v>
      </c>
      <c r="F26" s="24" t="s">
        <v>20</v>
      </c>
      <c r="G26" s="24">
        <v>2568</v>
      </c>
      <c r="H26" s="24" t="s">
        <v>48</v>
      </c>
      <c r="I26" s="24" t="s">
        <v>327</v>
      </c>
      <c r="J26" s="42">
        <v>3.85</v>
      </c>
      <c r="K26" s="43">
        <f t="shared" ref="K26:N26" si="5">K27/26*100</f>
        <v>3.8461538461538463</v>
      </c>
      <c r="L26" s="43">
        <f t="shared" si="5"/>
        <v>3.8461538461538463</v>
      </c>
      <c r="M26" s="43">
        <f t="shared" si="5"/>
        <v>3.8461538461538463</v>
      </c>
      <c r="N26" s="43">
        <f t="shared" si="5"/>
        <v>0</v>
      </c>
      <c r="O26" s="26"/>
      <c r="P26" s="26"/>
      <c r="Q26" s="26"/>
      <c r="R26" s="26"/>
      <c r="S26" s="26"/>
      <c r="T26" s="26"/>
      <c r="U26" s="26"/>
      <c r="V26" s="26"/>
    </row>
    <row r="27" spans="1:22" s="27" customFormat="1" ht="42.75" customHeight="1">
      <c r="A27" s="22" t="s">
        <v>328</v>
      </c>
      <c r="B27" s="40" t="s">
        <v>76</v>
      </c>
      <c r="C27" s="24" t="s">
        <v>79</v>
      </c>
      <c r="D27" s="41" t="s">
        <v>80</v>
      </c>
      <c r="E27" s="24" t="s">
        <v>54</v>
      </c>
      <c r="F27" s="24" t="s">
        <v>20</v>
      </c>
      <c r="G27" s="24">
        <v>2568</v>
      </c>
      <c r="H27" s="24" t="s">
        <v>48</v>
      </c>
      <c r="I27" s="24" t="s">
        <v>327</v>
      </c>
      <c r="J27" s="28">
        <v>1</v>
      </c>
      <c r="K27" s="24">
        <v>1</v>
      </c>
      <c r="L27" s="24">
        <v>1</v>
      </c>
      <c r="M27" s="24">
        <v>1</v>
      </c>
      <c r="N27" s="24"/>
      <c r="O27" s="26"/>
      <c r="P27" s="26"/>
      <c r="Q27" s="26"/>
      <c r="R27" s="26"/>
      <c r="S27" s="26"/>
      <c r="T27" s="26"/>
      <c r="U27" s="26"/>
      <c r="V27" s="26"/>
    </row>
    <row r="28" spans="1:22" s="5" customFormat="1" ht="71.25">
      <c r="A28" s="4" t="s">
        <v>328</v>
      </c>
      <c r="B28" s="40" t="s">
        <v>81</v>
      </c>
      <c r="C28" s="24" t="s">
        <v>82</v>
      </c>
      <c r="D28" s="41" t="s">
        <v>83</v>
      </c>
      <c r="E28" s="24" t="s">
        <v>47</v>
      </c>
      <c r="F28" s="24" t="s">
        <v>326</v>
      </c>
      <c r="G28" s="24">
        <v>2567</v>
      </c>
      <c r="H28" s="24" t="s">
        <v>41</v>
      </c>
      <c r="I28" s="24" t="s">
        <v>327</v>
      </c>
      <c r="J28" s="12"/>
      <c r="K28" s="15"/>
      <c r="L28" s="15"/>
      <c r="M28" s="15"/>
      <c r="N28" s="43" t="e">
        <f>N29/N30*100</f>
        <v>#DIV/0!</v>
      </c>
      <c r="O28" s="3"/>
      <c r="P28" s="3"/>
      <c r="Q28" s="3"/>
      <c r="R28" s="3"/>
      <c r="S28" s="3"/>
      <c r="T28" s="3"/>
      <c r="U28" s="3"/>
      <c r="V28" s="3"/>
    </row>
    <row r="29" spans="1:22" s="5" customFormat="1">
      <c r="A29" s="4" t="s">
        <v>328</v>
      </c>
      <c r="B29" s="40" t="s">
        <v>81</v>
      </c>
      <c r="C29" s="24" t="s">
        <v>84</v>
      </c>
      <c r="D29" s="24" t="s">
        <v>85</v>
      </c>
      <c r="E29" s="24" t="s">
        <v>54</v>
      </c>
      <c r="F29" s="24" t="s">
        <v>326</v>
      </c>
      <c r="G29" s="24">
        <v>2567</v>
      </c>
      <c r="H29" s="24" t="s">
        <v>41</v>
      </c>
      <c r="I29" s="24" t="s">
        <v>327</v>
      </c>
      <c r="J29" s="12"/>
      <c r="K29" s="12"/>
      <c r="L29" s="12"/>
      <c r="M29" s="12"/>
      <c r="N29" s="24"/>
      <c r="O29" s="3"/>
      <c r="P29" s="3"/>
      <c r="Q29" s="3"/>
      <c r="R29" s="3"/>
      <c r="S29" s="3"/>
      <c r="T29" s="3"/>
      <c r="U29" s="3"/>
      <c r="V29" s="3"/>
    </row>
    <row r="30" spans="1:22" s="5" customFormat="1">
      <c r="A30" s="4" t="s">
        <v>328</v>
      </c>
      <c r="B30" s="40" t="s">
        <v>81</v>
      </c>
      <c r="C30" s="24" t="s">
        <v>86</v>
      </c>
      <c r="D30" s="24" t="s">
        <v>87</v>
      </c>
      <c r="E30" s="24" t="s">
        <v>54</v>
      </c>
      <c r="F30" s="24" t="s">
        <v>326</v>
      </c>
      <c r="G30" s="24">
        <v>2567</v>
      </c>
      <c r="H30" s="24" t="s">
        <v>41</v>
      </c>
      <c r="I30" s="24" t="s">
        <v>327</v>
      </c>
      <c r="J30" s="12"/>
      <c r="K30" s="12"/>
      <c r="L30" s="12"/>
      <c r="M30" s="12"/>
      <c r="N30" s="24"/>
      <c r="O30" s="3"/>
      <c r="P30" s="3"/>
      <c r="Q30" s="3"/>
      <c r="R30" s="3"/>
      <c r="S30" s="3"/>
      <c r="T30" s="3"/>
      <c r="U30" s="3"/>
      <c r="V30" s="3"/>
    </row>
    <row r="31" spans="1:22" s="5" customFormat="1" ht="42.75" customHeight="1">
      <c r="A31" s="4" t="s">
        <v>328</v>
      </c>
      <c r="B31" s="40" t="s">
        <v>88</v>
      </c>
      <c r="C31" s="24" t="s">
        <v>89</v>
      </c>
      <c r="D31" s="41" t="s">
        <v>90</v>
      </c>
      <c r="E31" s="24" t="s">
        <v>47</v>
      </c>
      <c r="F31" s="24" t="s">
        <v>326</v>
      </c>
      <c r="G31" s="24">
        <v>2567</v>
      </c>
      <c r="H31" s="24" t="s">
        <v>91</v>
      </c>
      <c r="I31" s="24" t="s">
        <v>327</v>
      </c>
      <c r="J31" s="12"/>
      <c r="K31" s="15"/>
      <c r="L31" s="15"/>
      <c r="M31" s="15"/>
      <c r="N31" s="43" t="e">
        <f>N32/N33*100</f>
        <v>#DIV/0!</v>
      </c>
      <c r="O31" s="3"/>
      <c r="P31" s="3"/>
      <c r="Q31" s="3"/>
      <c r="R31" s="3"/>
      <c r="S31" s="3"/>
      <c r="T31" s="3"/>
      <c r="U31" s="3"/>
      <c r="V31" s="3"/>
    </row>
    <row r="32" spans="1:22" s="5" customFormat="1" ht="40.5" customHeight="1">
      <c r="A32" s="4" t="s">
        <v>328</v>
      </c>
      <c r="B32" s="40" t="s">
        <v>88</v>
      </c>
      <c r="C32" s="24" t="s">
        <v>92</v>
      </c>
      <c r="D32" s="41" t="s">
        <v>93</v>
      </c>
      <c r="E32" s="24" t="s">
        <v>40</v>
      </c>
      <c r="F32" s="24" t="s">
        <v>326</v>
      </c>
      <c r="G32" s="24">
        <v>2567</v>
      </c>
      <c r="H32" s="24" t="s">
        <v>91</v>
      </c>
      <c r="I32" s="24" t="s">
        <v>327</v>
      </c>
      <c r="J32" s="12"/>
      <c r="K32" s="12"/>
      <c r="L32" s="12"/>
      <c r="M32" s="12"/>
      <c r="N32" s="24"/>
      <c r="O32" s="3"/>
      <c r="P32" s="3"/>
      <c r="Q32" s="3"/>
      <c r="R32" s="3"/>
      <c r="S32" s="3"/>
      <c r="T32" s="3"/>
      <c r="U32" s="3"/>
      <c r="V32" s="3"/>
    </row>
    <row r="33" spans="1:22" s="5" customFormat="1">
      <c r="A33" s="4" t="s">
        <v>328</v>
      </c>
      <c r="B33" s="40" t="s">
        <v>88</v>
      </c>
      <c r="C33" s="24" t="s">
        <v>94</v>
      </c>
      <c r="D33" s="24" t="s">
        <v>95</v>
      </c>
      <c r="E33" s="24" t="s">
        <v>40</v>
      </c>
      <c r="F33" s="24" t="s">
        <v>326</v>
      </c>
      <c r="G33" s="24">
        <v>2567</v>
      </c>
      <c r="H33" s="24" t="s">
        <v>91</v>
      </c>
      <c r="I33" s="24" t="s">
        <v>327</v>
      </c>
      <c r="J33" s="12"/>
      <c r="K33" s="12"/>
      <c r="L33" s="12"/>
      <c r="M33" s="12"/>
      <c r="N33" s="24"/>
      <c r="O33" s="3"/>
      <c r="P33" s="3"/>
      <c r="Q33" s="3"/>
      <c r="R33" s="3"/>
      <c r="S33" s="3"/>
      <c r="T33" s="3"/>
      <c r="U33" s="3"/>
      <c r="V33" s="3"/>
    </row>
    <row r="34" spans="1:22" s="5" customFormat="1" ht="42.75">
      <c r="A34" s="4" t="s">
        <v>328</v>
      </c>
      <c r="B34" s="23" t="s">
        <v>96</v>
      </c>
      <c r="C34" s="24" t="s">
        <v>97</v>
      </c>
      <c r="D34" s="41" t="s">
        <v>98</v>
      </c>
      <c r="E34" s="24" t="s">
        <v>54</v>
      </c>
      <c r="F34" s="24" t="s">
        <v>326</v>
      </c>
      <c r="G34" s="24">
        <v>2567</v>
      </c>
      <c r="H34" s="24" t="s">
        <v>48</v>
      </c>
      <c r="I34" s="24" t="s">
        <v>327</v>
      </c>
      <c r="J34" s="12"/>
      <c r="K34" s="24" t="s">
        <v>64</v>
      </c>
      <c r="L34" s="24" t="s">
        <v>64</v>
      </c>
      <c r="M34" s="24" t="s">
        <v>64</v>
      </c>
      <c r="N34" s="24"/>
      <c r="O34" s="3"/>
      <c r="P34" s="3"/>
      <c r="Q34" s="3"/>
      <c r="R34" s="3"/>
      <c r="S34" s="3"/>
      <c r="T34" s="3"/>
      <c r="U34" s="3"/>
      <c r="V34" s="3"/>
    </row>
    <row r="35" spans="1:22" s="5" customFormat="1" ht="42" customHeight="1">
      <c r="A35" s="4" t="s">
        <v>328</v>
      </c>
      <c r="B35" s="40" t="s">
        <v>99</v>
      </c>
      <c r="C35" s="24" t="s">
        <v>100</v>
      </c>
      <c r="D35" s="41" t="s">
        <v>101</v>
      </c>
      <c r="E35" s="24" t="s">
        <v>47</v>
      </c>
      <c r="F35" s="24" t="s">
        <v>326</v>
      </c>
      <c r="G35" s="24">
        <v>2567</v>
      </c>
      <c r="H35" s="24" t="s">
        <v>41</v>
      </c>
      <c r="I35" s="24" t="s">
        <v>327</v>
      </c>
      <c r="J35" s="12"/>
      <c r="K35" s="15"/>
      <c r="L35" s="15"/>
      <c r="M35" s="15"/>
      <c r="N35" s="43" t="e">
        <f>N36/N37*100</f>
        <v>#DIV/0!</v>
      </c>
      <c r="O35" s="3"/>
      <c r="P35" s="3"/>
      <c r="Q35" s="3"/>
      <c r="R35" s="3"/>
      <c r="S35" s="3"/>
      <c r="T35" s="3"/>
      <c r="U35" s="3"/>
      <c r="V35" s="3"/>
    </row>
    <row r="36" spans="1:22" s="5" customFormat="1" ht="22.5" customHeight="1">
      <c r="A36" s="4" t="s">
        <v>328</v>
      </c>
      <c r="B36" s="40" t="s">
        <v>99</v>
      </c>
      <c r="C36" s="24" t="s">
        <v>102</v>
      </c>
      <c r="D36" s="24" t="s">
        <v>103</v>
      </c>
      <c r="E36" s="24" t="s">
        <v>54</v>
      </c>
      <c r="F36" s="24" t="s">
        <v>326</v>
      </c>
      <c r="G36" s="24">
        <v>2567</v>
      </c>
      <c r="H36" s="24" t="s">
        <v>41</v>
      </c>
      <c r="I36" s="24" t="s">
        <v>327</v>
      </c>
      <c r="J36" s="12"/>
      <c r="K36" s="12"/>
      <c r="L36" s="12"/>
      <c r="M36" s="12"/>
      <c r="N36" s="24"/>
      <c r="O36" s="3"/>
      <c r="P36" s="3"/>
      <c r="Q36" s="3"/>
      <c r="R36" s="3"/>
      <c r="S36" s="3"/>
      <c r="T36" s="3"/>
      <c r="U36" s="3"/>
      <c r="V36" s="3"/>
    </row>
    <row r="37" spans="1:22" s="5" customFormat="1" ht="22.5" customHeight="1">
      <c r="A37" s="4" t="s">
        <v>328</v>
      </c>
      <c r="B37" s="40" t="s">
        <v>99</v>
      </c>
      <c r="C37" s="24" t="s">
        <v>104</v>
      </c>
      <c r="D37" s="24" t="s">
        <v>87</v>
      </c>
      <c r="E37" s="24" t="s">
        <v>54</v>
      </c>
      <c r="F37" s="24" t="s">
        <v>326</v>
      </c>
      <c r="G37" s="24">
        <v>2567</v>
      </c>
      <c r="H37" s="24" t="s">
        <v>41</v>
      </c>
      <c r="I37" s="24" t="s">
        <v>327</v>
      </c>
      <c r="J37" s="12"/>
      <c r="K37" s="12"/>
      <c r="L37" s="12"/>
      <c r="M37" s="12"/>
      <c r="N37" s="24"/>
      <c r="O37" s="3"/>
      <c r="P37" s="3"/>
      <c r="Q37" s="3"/>
      <c r="R37" s="3"/>
      <c r="S37" s="3"/>
      <c r="T37" s="3"/>
      <c r="U37" s="3"/>
      <c r="V37" s="3"/>
    </row>
    <row r="38" spans="1:22" s="5" customFormat="1" ht="42.75" customHeight="1">
      <c r="A38" s="4" t="s">
        <v>328</v>
      </c>
      <c r="B38" s="23" t="s">
        <v>106</v>
      </c>
      <c r="C38" s="24" t="s">
        <v>107</v>
      </c>
      <c r="D38" s="41" t="s">
        <v>108</v>
      </c>
      <c r="E38" s="24" t="s">
        <v>109</v>
      </c>
      <c r="F38" s="24" t="s">
        <v>326</v>
      </c>
      <c r="G38" s="24">
        <v>2567</v>
      </c>
      <c r="H38" s="24" t="s">
        <v>91</v>
      </c>
      <c r="I38" s="24" t="s">
        <v>327</v>
      </c>
      <c r="J38" s="12"/>
      <c r="K38" s="16"/>
      <c r="L38" s="16"/>
      <c r="M38" s="16"/>
      <c r="N38" s="25"/>
      <c r="O38" s="3"/>
      <c r="P38" s="3"/>
      <c r="Q38" s="3"/>
      <c r="R38" s="3"/>
      <c r="S38" s="3"/>
      <c r="T38" s="3"/>
      <c r="U38" s="3"/>
      <c r="V38" s="3"/>
    </row>
    <row r="39" spans="1:22" s="5" customFormat="1" ht="21.75" customHeight="1">
      <c r="A39" s="4" t="s">
        <v>328</v>
      </c>
      <c r="B39" s="23" t="s">
        <v>110</v>
      </c>
      <c r="C39" s="24" t="s">
        <v>111</v>
      </c>
      <c r="D39" s="24" t="s">
        <v>112</v>
      </c>
      <c r="E39" s="24" t="s">
        <v>40</v>
      </c>
      <c r="F39" s="24" t="s">
        <v>20</v>
      </c>
      <c r="G39" s="24">
        <v>2568</v>
      </c>
      <c r="H39" s="24" t="s">
        <v>91</v>
      </c>
      <c r="I39" s="24" t="s">
        <v>327</v>
      </c>
      <c r="J39" s="12"/>
      <c r="K39" s="16"/>
      <c r="L39" s="16"/>
      <c r="M39" s="16"/>
      <c r="N39" s="25"/>
      <c r="O39" s="3"/>
      <c r="P39" s="3"/>
      <c r="Q39" s="3"/>
      <c r="R39" s="3"/>
      <c r="S39" s="3"/>
      <c r="T39" s="3"/>
      <c r="U39" s="3"/>
      <c r="V39" s="3"/>
    </row>
    <row r="40" spans="1:22" s="5" customFormat="1" ht="21.75" customHeight="1">
      <c r="A40" s="4" t="s">
        <v>328</v>
      </c>
      <c r="B40" s="23" t="s">
        <v>113</v>
      </c>
      <c r="C40" s="24" t="s">
        <v>114</v>
      </c>
      <c r="D40" s="24" t="s">
        <v>115</v>
      </c>
      <c r="E40" s="14"/>
      <c r="F40" s="14" t="s">
        <v>20</v>
      </c>
      <c r="G40" s="14">
        <v>2568</v>
      </c>
      <c r="H40" s="14" t="s">
        <v>91</v>
      </c>
      <c r="I40" s="14" t="s">
        <v>327</v>
      </c>
      <c r="J40" s="12"/>
      <c r="K40" s="12"/>
      <c r="L40" s="12"/>
      <c r="M40" s="12"/>
      <c r="N40" s="12"/>
      <c r="O40" s="3"/>
      <c r="P40" s="3"/>
      <c r="Q40" s="3"/>
      <c r="R40" s="3"/>
      <c r="S40" s="3"/>
      <c r="T40" s="3"/>
      <c r="U40" s="3"/>
      <c r="V40" s="3"/>
    </row>
    <row r="41" spans="1:22" s="5" customFormat="1" ht="21.75" customHeight="1">
      <c r="A41" s="4" t="s">
        <v>328</v>
      </c>
      <c r="B41" s="40" t="s">
        <v>116</v>
      </c>
      <c r="C41" s="24" t="s">
        <v>117</v>
      </c>
      <c r="D41" s="24" t="s">
        <v>118</v>
      </c>
      <c r="E41" s="24" t="s">
        <v>47</v>
      </c>
      <c r="F41" s="24" t="s">
        <v>20</v>
      </c>
      <c r="G41" s="24">
        <v>2568</v>
      </c>
      <c r="H41" s="24" t="s">
        <v>91</v>
      </c>
      <c r="I41" s="24" t="s">
        <v>327</v>
      </c>
      <c r="J41" s="12"/>
      <c r="K41" s="17"/>
      <c r="L41" s="17"/>
      <c r="M41" s="17"/>
      <c r="N41" s="42" t="e">
        <f>N42/N43*100</f>
        <v>#DIV/0!</v>
      </c>
      <c r="O41" s="3"/>
      <c r="P41" s="3"/>
      <c r="Q41" s="3"/>
      <c r="R41" s="3"/>
      <c r="S41" s="3"/>
      <c r="T41" s="3"/>
      <c r="U41" s="3"/>
      <c r="V41" s="3"/>
    </row>
    <row r="42" spans="1:22" s="5" customFormat="1" ht="40.5" customHeight="1">
      <c r="A42" s="4" t="s">
        <v>328</v>
      </c>
      <c r="B42" s="40" t="s">
        <v>116</v>
      </c>
      <c r="C42" s="24" t="s">
        <v>119</v>
      </c>
      <c r="D42" s="41" t="s">
        <v>120</v>
      </c>
      <c r="E42" s="24" t="s">
        <v>40</v>
      </c>
      <c r="F42" s="24" t="s">
        <v>20</v>
      </c>
      <c r="G42" s="24">
        <v>2568</v>
      </c>
      <c r="H42" s="24" t="s">
        <v>91</v>
      </c>
      <c r="I42" s="24" t="s">
        <v>327</v>
      </c>
      <c r="J42" s="12"/>
      <c r="K42" s="12"/>
      <c r="L42" s="12"/>
      <c r="M42" s="12"/>
      <c r="N42" s="24"/>
      <c r="O42" s="3"/>
      <c r="P42" s="3"/>
      <c r="Q42" s="3"/>
      <c r="R42" s="3"/>
      <c r="S42" s="3"/>
      <c r="T42" s="3"/>
      <c r="U42" s="3"/>
      <c r="V42" s="3"/>
    </row>
    <row r="43" spans="1:22" s="5" customFormat="1" ht="21.75" customHeight="1">
      <c r="A43" s="4" t="s">
        <v>328</v>
      </c>
      <c r="B43" s="40" t="s">
        <v>116</v>
      </c>
      <c r="C43" s="24" t="s">
        <v>121</v>
      </c>
      <c r="D43" s="24" t="s">
        <v>122</v>
      </c>
      <c r="E43" s="24" t="s">
        <v>40</v>
      </c>
      <c r="F43" s="24" t="s">
        <v>20</v>
      </c>
      <c r="G43" s="24">
        <v>2568</v>
      </c>
      <c r="H43" s="24" t="s">
        <v>91</v>
      </c>
      <c r="I43" s="24" t="s">
        <v>327</v>
      </c>
      <c r="J43" s="12"/>
      <c r="K43" s="12"/>
      <c r="L43" s="12"/>
      <c r="M43" s="12"/>
      <c r="N43" s="24"/>
      <c r="O43" s="3"/>
      <c r="P43" s="3"/>
      <c r="Q43" s="3"/>
      <c r="R43" s="3"/>
      <c r="S43" s="3"/>
      <c r="T43" s="3"/>
      <c r="U43" s="3"/>
      <c r="V43" s="3"/>
    </row>
    <row r="44" spans="1:22" s="5" customFormat="1" ht="21.75" customHeight="1">
      <c r="A44" s="4" t="s">
        <v>328</v>
      </c>
      <c r="B44" s="40" t="s">
        <v>123</v>
      </c>
      <c r="C44" s="24" t="s">
        <v>124</v>
      </c>
      <c r="D44" s="24" t="s">
        <v>125</v>
      </c>
      <c r="E44" s="24" t="s">
        <v>47</v>
      </c>
      <c r="F44" s="24" t="s">
        <v>20</v>
      </c>
      <c r="G44" s="24">
        <v>2568</v>
      </c>
      <c r="H44" s="24" t="s">
        <v>91</v>
      </c>
      <c r="I44" s="24" t="s">
        <v>327</v>
      </c>
      <c r="J44" s="12"/>
      <c r="K44" s="17"/>
      <c r="L44" s="17"/>
      <c r="M44" s="17"/>
      <c r="N44" s="42" t="e">
        <f>N45/N46*100</f>
        <v>#DIV/0!</v>
      </c>
      <c r="O44" s="3"/>
      <c r="P44" s="3"/>
      <c r="Q44" s="3"/>
      <c r="R44" s="3"/>
      <c r="S44" s="3"/>
      <c r="T44" s="3"/>
      <c r="U44" s="3"/>
      <c r="V44" s="3"/>
    </row>
    <row r="45" spans="1:22" s="5" customFormat="1" ht="21.75" customHeight="1">
      <c r="A45" s="4" t="s">
        <v>328</v>
      </c>
      <c r="B45" s="40" t="s">
        <v>123</v>
      </c>
      <c r="C45" s="24" t="s">
        <v>126</v>
      </c>
      <c r="D45" s="24" t="s">
        <v>127</v>
      </c>
      <c r="E45" s="24" t="s">
        <v>40</v>
      </c>
      <c r="F45" s="24" t="s">
        <v>20</v>
      </c>
      <c r="G45" s="24">
        <v>2568</v>
      </c>
      <c r="H45" s="24" t="s">
        <v>91</v>
      </c>
      <c r="I45" s="24" t="s">
        <v>327</v>
      </c>
      <c r="J45" s="12"/>
      <c r="K45" s="12"/>
      <c r="L45" s="12"/>
      <c r="M45" s="12"/>
      <c r="N45" s="24"/>
      <c r="O45" s="3"/>
      <c r="P45" s="3"/>
      <c r="Q45" s="3"/>
      <c r="R45" s="3"/>
      <c r="S45" s="3"/>
      <c r="T45" s="3"/>
      <c r="U45" s="3"/>
      <c r="V45" s="3"/>
    </row>
    <row r="46" spans="1:22" s="5" customFormat="1" ht="21.75" customHeight="1">
      <c r="A46" s="4" t="s">
        <v>328</v>
      </c>
      <c r="B46" s="40" t="s">
        <v>123</v>
      </c>
      <c r="C46" s="24" t="s">
        <v>128</v>
      </c>
      <c r="D46" s="24" t="s">
        <v>129</v>
      </c>
      <c r="E46" s="24" t="s">
        <v>40</v>
      </c>
      <c r="F46" s="24" t="s">
        <v>20</v>
      </c>
      <c r="G46" s="24">
        <v>2568</v>
      </c>
      <c r="H46" s="24" t="s">
        <v>91</v>
      </c>
      <c r="I46" s="24" t="s">
        <v>327</v>
      </c>
      <c r="J46" s="12"/>
      <c r="K46" s="12"/>
      <c r="L46" s="12"/>
      <c r="M46" s="12"/>
      <c r="N46" s="24"/>
      <c r="O46" s="3"/>
      <c r="P46" s="3"/>
      <c r="Q46" s="3"/>
      <c r="R46" s="3"/>
      <c r="S46" s="3"/>
      <c r="T46" s="3"/>
      <c r="U46" s="3"/>
      <c r="V46" s="3"/>
    </row>
    <row r="47" spans="1:22" s="5" customFormat="1" ht="21.75" customHeight="1">
      <c r="A47" s="4" t="s">
        <v>328</v>
      </c>
      <c r="B47" s="23" t="s">
        <v>130</v>
      </c>
      <c r="C47" s="24" t="s">
        <v>131</v>
      </c>
      <c r="D47" s="24" t="s">
        <v>132</v>
      </c>
      <c r="E47" s="24" t="s">
        <v>133</v>
      </c>
      <c r="F47" s="24" t="s">
        <v>20</v>
      </c>
      <c r="G47" s="24">
        <v>2568</v>
      </c>
      <c r="H47" s="24" t="s">
        <v>91</v>
      </c>
      <c r="I47" s="24" t="s">
        <v>327</v>
      </c>
      <c r="J47" s="12"/>
      <c r="K47" s="12"/>
      <c r="L47" s="12"/>
      <c r="M47" s="12"/>
      <c r="N47" s="24"/>
      <c r="O47" s="3"/>
      <c r="P47" s="3"/>
      <c r="Q47" s="3"/>
      <c r="R47" s="3"/>
      <c r="S47" s="3"/>
      <c r="T47" s="3"/>
      <c r="U47" s="3"/>
      <c r="V47" s="3"/>
    </row>
    <row r="48" spans="1:22" s="5" customFormat="1" ht="21.75" customHeight="1">
      <c r="A48" s="4" t="s">
        <v>328</v>
      </c>
      <c r="B48" s="23" t="s">
        <v>134</v>
      </c>
      <c r="C48" s="24" t="s">
        <v>135</v>
      </c>
      <c r="D48" s="24" t="s">
        <v>136</v>
      </c>
      <c r="E48" s="24" t="s">
        <v>40</v>
      </c>
      <c r="F48" s="24" t="s">
        <v>326</v>
      </c>
      <c r="G48" s="24">
        <v>2567</v>
      </c>
      <c r="H48" s="24" t="s">
        <v>137</v>
      </c>
      <c r="I48" s="24" t="s">
        <v>327</v>
      </c>
      <c r="J48" s="28">
        <v>8</v>
      </c>
      <c r="K48" s="24">
        <f t="shared" ref="K48:N48" si="6">K49+K50+K51+K52</f>
        <v>3</v>
      </c>
      <c r="L48" s="24">
        <f t="shared" si="6"/>
        <v>7</v>
      </c>
      <c r="M48" s="24">
        <f t="shared" si="6"/>
        <v>14</v>
      </c>
      <c r="N48" s="24">
        <f t="shared" si="6"/>
        <v>0</v>
      </c>
      <c r="O48" s="3"/>
      <c r="P48" s="3"/>
      <c r="Q48" s="3"/>
      <c r="R48" s="3"/>
      <c r="S48" s="3"/>
      <c r="T48" s="3"/>
      <c r="U48" s="3"/>
      <c r="V48" s="3"/>
    </row>
    <row r="49" spans="1:22" s="5" customFormat="1" ht="21.75" customHeight="1">
      <c r="A49" s="4" t="s">
        <v>328</v>
      </c>
      <c r="B49" s="23" t="s">
        <v>138</v>
      </c>
      <c r="C49" s="24" t="s">
        <v>139</v>
      </c>
      <c r="D49" s="24" t="s">
        <v>140</v>
      </c>
      <c r="E49" s="24" t="s">
        <v>40</v>
      </c>
      <c r="F49" s="24" t="s">
        <v>326</v>
      </c>
      <c r="G49" s="24">
        <v>2567</v>
      </c>
      <c r="H49" s="24" t="s">
        <v>137</v>
      </c>
      <c r="I49" s="24" t="s">
        <v>327</v>
      </c>
      <c r="J49" s="28" t="s">
        <v>64</v>
      </c>
      <c r="K49" s="24">
        <v>0</v>
      </c>
      <c r="L49" s="24">
        <v>0</v>
      </c>
      <c r="M49" s="24">
        <v>0</v>
      </c>
      <c r="N49" s="24"/>
      <c r="O49" s="3"/>
      <c r="P49" s="3"/>
      <c r="Q49" s="3"/>
      <c r="R49" s="3"/>
      <c r="S49" s="3"/>
      <c r="T49" s="3"/>
      <c r="U49" s="3"/>
      <c r="V49" s="3"/>
    </row>
    <row r="50" spans="1:22" s="5" customFormat="1" ht="21.75" customHeight="1">
      <c r="A50" s="4" t="s">
        <v>328</v>
      </c>
      <c r="B50" s="23" t="s">
        <v>141</v>
      </c>
      <c r="C50" s="24" t="s">
        <v>142</v>
      </c>
      <c r="D50" s="24" t="s">
        <v>143</v>
      </c>
      <c r="E50" s="24" t="s">
        <v>40</v>
      </c>
      <c r="F50" s="24" t="s">
        <v>326</v>
      </c>
      <c r="G50" s="24">
        <v>2567</v>
      </c>
      <c r="H50" s="24" t="s">
        <v>137</v>
      </c>
      <c r="I50" s="24" t="s">
        <v>327</v>
      </c>
      <c r="J50" s="28">
        <v>4</v>
      </c>
      <c r="K50" s="24">
        <v>1</v>
      </c>
      <c r="L50" s="24">
        <v>4</v>
      </c>
      <c r="M50" s="24">
        <v>7</v>
      </c>
      <c r="N50" s="24"/>
      <c r="O50" s="3"/>
      <c r="P50" s="3"/>
      <c r="Q50" s="3"/>
      <c r="R50" s="3"/>
      <c r="S50" s="3"/>
      <c r="T50" s="3"/>
      <c r="U50" s="3"/>
      <c r="V50" s="3"/>
    </row>
    <row r="51" spans="1:22" s="5" customFormat="1" ht="21.75" customHeight="1">
      <c r="A51" s="4" t="s">
        <v>328</v>
      </c>
      <c r="B51" s="23" t="s">
        <v>144</v>
      </c>
      <c r="C51" s="24" t="s">
        <v>145</v>
      </c>
      <c r="D51" s="24" t="str">
        <f>D52</f>
        <v>- นักศึกษา outbound ระยะเวลาน้อยกว่า 12 สัปดาห์</v>
      </c>
      <c r="E51" s="24" t="s">
        <v>40</v>
      </c>
      <c r="F51" s="24" t="s">
        <v>326</v>
      </c>
      <c r="G51" s="24">
        <v>2567</v>
      </c>
      <c r="H51" s="24" t="s">
        <v>137</v>
      </c>
      <c r="I51" s="24" t="s">
        <v>327</v>
      </c>
      <c r="J51" s="28" t="s">
        <v>64</v>
      </c>
      <c r="K51" s="24">
        <v>0</v>
      </c>
      <c r="L51" s="24">
        <v>1</v>
      </c>
      <c r="M51" s="24">
        <v>1</v>
      </c>
      <c r="N51" s="24"/>
      <c r="O51" s="3"/>
      <c r="P51" s="3"/>
      <c r="Q51" s="3"/>
      <c r="R51" s="3"/>
      <c r="S51" s="3"/>
      <c r="T51" s="3"/>
      <c r="U51" s="3"/>
      <c r="V51" s="3"/>
    </row>
    <row r="52" spans="1:22" s="5" customFormat="1" ht="21.75" customHeight="1">
      <c r="A52" s="4" t="s">
        <v>328</v>
      </c>
      <c r="B52" s="23" t="s">
        <v>146</v>
      </c>
      <c r="C52" s="24" t="s">
        <v>147</v>
      </c>
      <c r="D52" s="24" t="s">
        <v>148</v>
      </c>
      <c r="E52" s="24" t="s">
        <v>40</v>
      </c>
      <c r="F52" s="24" t="s">
        <v>326</v>
      </c>
      <c r="G52" s="24">
        <v>2567</v>
      </c>
      <c r="H52" s="24" t="s">
        <v>137</v>
      </c>
      <c r="I52" s="24" t="s">
        <v>327</v>
      </c>
      <c r="J52" s="28">
        <v>4</v>
      </c>
      <c r="K52" s="24">
        <v>2</v>
      </c>
      <c r="L52" s="24">
        <v>2</v>
      </c>
      <c r="M52" s="24">
        <v>6</v>
      </c>
      <c r="N52" s="24"/>
      <c r="O52" s="3"/>
      <c r="P52" s="3"/>
      <c r="Q52" s="3"/>
      <c r="R52" s="3"/>
      <c r="S52" s="3"/>
      <c r="T52" s="3"/>
      <c r="U52" s="3"/>
      <c r="V52" s="3"/>
    </row>
    <row r="53" spans="1:22" s="5" customFormat="1" ht="21.75" customHeight="1">
      <c r="A53" s="4" t="s">
        <v>332</v>
      </c>
      <c r="B53" s="23" t="s">
        <v>149</v>
      </c>
      <c r="C53" s="24" t="s">
        <v>150</v>
      </c>
      <c r="D53" s="24" t="s">
        <v>151</v>
      </c>
      <c r="E53" s="24" t="s">
        <v>16</v>
      </c>
      <c r="F53" s="24" t="s">
        <v>20</v>
      </c>
      <c r="G53" s="24">
        <v>2568</v>
      </c>
      <c r="H53" s="24" t="s">
        <v>137</v>
      </c>
      <c r="I53" s="25" t="s">
        <v>64</v>
      </c>
      <c r="J53" s="24" t="s">
        <v>64</v>
      </c>
      <c r="K53" s="24" t="s">
        <v>64</v>
      </c>
      <c r="L53" s="24" t="s">
        <v>64</v>
      </c>
      <c r="M53" s="24"/>
      <c r="N53" s="12"/>
      <c r="O53" s="3"/>
      <c r="P53" s="3"/>
      <c r="Q53" s="3"/>
      <c r="R53" s="3"/>
      <c r="S53" s="3"/>
      <c r="T53" s="3"/>
      <c r="U53" s="3"/>
    </row>
    <row r="54" spans="1:22" s="5" customFormat="1" ht="21.75" customHeight="1">
      <c r="A54" s="4" t="s">
        <v>332</v>
      </c>
      <c r="B54" s="23" t="s">
        <v>152</v>
      </c>
      <c r="C54" s="24" t="s">
        <v>153</v>
      </c>
      <c r="D54" s="24" t="s">
        <v>154</v>
      </c>
      <c r="E54" s="24" t="s">
        <v>40</v>
      </c>
      <c r="F54" s="24" t="s">
        <v>20</v>
      </c>
      <c r="G54" s="24">
        <v>2568</v>
      </c>
      <c r="H54" s="24" t="s">
        <v>137</v>
      </c>
      <c r="I54" s="28" t="s">
        <v>64</v>
      </c>
      <c r="J54" s="24" t="s">
        <v>64</v>
      </c>
      <c r="K54" s="24" t="s">
        <v>64</v>
      </c>
      <c r="L54" s="24" t="s">
        <v>64</v>
      </c>
      <c r="M54" s="24"/>
      <c r="N54" s="12"/>
      <c r="O54" s="3"/>
      <c r="P54" s="3"/>
      <c r="Q54" s="3"/>
      <c r="R54" s="3"/>
      <c r="S54" s="3"/>
      <c r="T54" s="3"/>
      <c r="U54" s="3"/>
    </row>
    <row r="55" spans="1:22" s="5" customFormat="1" ht="41.25" customHeight="1">
      <c r="A55" s="4" t="s">
        <v>332</v>
      </c>
      <c r="B55" s="23" t="s">
        <v>155</v>
      </c>
      <c r="C55" s="24" t="s">
        <v>156</v>
      </c>
      <c r="D55" s="41" t="s">
        <v>157</v>
      </c>
      <c r="E55" s="24" t="s">
        <v>32</v>
      </c>
      <c r="F55" s="24" t="s">
        <v>20</v>
      </c>
      <c r="G55" s="24">
        <v>2568</v>
      </c>
      <c r="H55" s="41" t="s">
        <v>331</v>
      </c>
      <c r="I55" s="41"/>
      <c r="J55" s="12"/>
      <c r="K55" s="42">
        <v>195280</v>
      </c>
      <c r="L55" s="42">
        <v>425160</v>
      </c>
      <c r="M55" s="42">
        <v>425160</v>
      </c>
      <c r="N55" s="42"/>
      <c r="O55" s="3"/>
      <c r="P55" s="3"/>
      <c r="Q55" s="3"/>
      <c r="R55" s="3"/>
      <c r="S55" s="3"/>
      <c r="T55" s="3"/>
      <c r="U55" s="3"/>
      <c r="V55" s="3"/>
    </row>
    <row r="56" spans="1:22" s="5" customFormat="1">
      <c r="A56" s="4" t="s">
        <v>332</v>
      </c>
      <c r="B56" s="23" t="s">
        <v>158</v>
      </c>
      <c r="C56" s="24" t="s">
        <v>159</v>
      </c>
      <c r="D56" s="24" t="s">
        <v>160</v>
      </c>
      <c r="E56" s="24" t="s">
        <v>47</v>
      </c>
      <c r="F56" s="24" t="s">
        <v>20</v>
      </c>
      <c r="G56" s="24">
        <v>2568</v>
      </c>
      <c r="H56" s="24" t="s">
        <v>137</v>
      </c>
      <c r="I56" s="24" t="s">
        <v>333</v>
      </c>
      <c r="J56" s="12"/>
      <c r="K56" s="42">
        <f t="shared" ref="K56:N56" si="7">K57/K60*100</f>
        <v>80</v>
      </c>
      <c r="L56" s="42">
        <f t="shared" si="7"/>
        <v>80</v>
      </c>
      <c r="M56" s="42">
        <f t="shared" si="7"/>
        <v>80</v>
      </c>
      <c r="N56" s="42" t="e">
        <f t="shared" si="7"/>
        <v>#DIV/0!</v>
      </c>
      <c r="O56" s="3"/>
      <c r="P56" s="3"/>
      <c r="Q56" s="3"/>
      <c r="R56" s="3"/>
      <c r="S56" s="3"/>
      <c r="T56" s="3"/>
      <c r="U56" s="3"/>
      <c r="V56" s="3"/>
    </row>
    <row r="57" spans="1:22" s="5" customFormat="1" ht="41.25" customHeight="1">
      <c r="A57" s="4" t="s">
        <v>332</v>
      </c>
      <c r="B57" s="23" t="s">
        <v>158</v>
      </c>
      <c r="C57" s="24" t="s">
        <v>161</v>
      </c>
      <c r="D57" s="41" t="s">
        <v>162</v>
      </c>
      <c r="E57" s="24" t="s">
        <v>163</v>
      </c>
      <c r="F57" s="24" t="s">
        <v>20</v>
      </c>
      <c r="G57" s="24">
        <v>2568</v>
      </c>
      <c r="H57" s="24" t="s">
        <v>137</v>
      </c>
      <c r="I57" s="24" t="s">
        <v>333</v>
      </c>
      <c r="J57" s="12"/>
      <c r="K57" s="24">
        <v>4</v>
      </c>
      <c r="L57" s="24">
        <v>4</v>
      </c>
      <c r="M57" s="24">
        <v>4</v>
      </c>
      <c r="N57" s="24"/>
      <c r="O57" s="3"/>
      <c r="P57" s="3"/>
      <c r="Q57" s="3"/>
      <c r="R57" s="3"/>
      <c r="S57" s="3"/>
      <c r="T57" s="3"/>
      <c r="U57" s="3"/>
      <c r="V57" s="3"/>
    </row>
    <row r="58" spans="1:22" s="5" customFormat="1">
      <c r="A58" s="4" t="s">
        <v>332</v>
      </c>
      <c r="B58" s="23" t="s">
        <v>158</v>
      </c>
      <c r="C58" s="24" t="s">
        <v>164</v>
      </c>
      <c r="D58" s="24" t="s">
        <v>165</v>
      </c>
      <c r="E58" s="24" t="s">
        <v>163</v>
      </c>
      <c r="F58" s="24" t="s">
        <v>20</v>
      </c>
      <c r="G58" s="24">
        <v>2568</v>
      </c>
      <c r="H58" s="24" t="s">
        <v>137</v>
      </c>
      <c r="I58" s="24" t="s">
        <v>333</v>
      </c>
      <c r="J58" s="12"/>
      <c r="K58" s="24">
        <v>4</v>
      </c>
      <c r="L58" s="24">
        <v>4</v>
      </c>
      <c r="M58" s="24">
        <v>4</v>
      </c>
      <c r="N58" s="24"/>
      <c r="O58" s="3"/>
      <c r="P58" s="3"/>
      <c r="Q58" s="3"/>
      <c r="R58" s="3"/>
      <c r="S58" s="3"/>
      <c r="T58" s="3"/>
      <c r="U58" s="3"/>
      <c r="V58" s="3"/>
    </row>
    <row r="59" spans="1:22" s="5" customFormat="1">
      <c r="A59" s="4" t="s">
        <v>332</v>
      </c>
      <c r="B59" s="23" t="s">
        <v>158</v>
      </c>
      <c r="C59" s="24" t="s">
        <v>166</v>
      </c>
      <c r="D59" s="24" t="s">
        <v>167</v>
      </c>
      <c r="E59" s="24" t="s">
        <v>163</v>
      </c>
      <c r="F59" s="24" t="s">
        <v>20</v>
      </c>
      <c r="G59" s="24">
        <v>2568</v>
      </c>
      <c r="H59" s="24" t="s">
        <v>137</v>
      </c>
      <c r="I59" s="24" t="s">
        <v>333</v>
      </c>
      <c r="J59" s="12"/>
      <c r="K59" s="24">
        <v>1</v>
      </c>
      <c r="L59" s="24">
        <v>1</v>
      </c>
      <c r="M59" s="24">
        <v>1</v>
      </c>
      <c r="N59" s="24"/>
      <c r="O59" s="3"/>
      <c r="P59" s="3"/>
      <c r="Q59" s="3"/>
      <c r="R59" s="3"/>
      <c r="S59" s="3"/>
      <c r="T59" s="3"/>
      <c r="U59" s="3"/>
      <c r="V59" s="3"/>
    </row>
    <row r="60" spans="1:22" s="5" customFormat="1" ht="41.25" customHeight="1">
      <c r="A60" s="4" t="s">
        <v>332</v>
      </c>
      <c r="B60" s="23" t="s">
        <v>158</v>
      </c>
      <c r="C60" s="24" t="s">
        <v>168</v>
      </c>
      <c r="D60" s="41" t="s">
        <v>169</v>
      </c>
      <c r="E60" s="24" t="s">
        <v>163</v>
      </c>
      <c r="F60" s="24" t="s">
        <v>20</v>
      </c>
      <c r="G60" s="24">
        <v>2568</v>
      </c>
      <c r="H60" s="24" t="s">
        <v>137</v>
      </c>
      <c r="I60" s="24" t="s">
        <v>333</v>
      </c>
      <c r="J60" s="12"/>
      <c r="K60" s="24">
        <v>5</v>
      </c>
      <c r="L60" s="24">
        <v>5</v>
      </c>
      <c r="M60" s="24">
        <v>5</v>
      </c>
      <c r="N60" s="24"/>
      <c r="O60" s="3"/>
      <c r="P60" s="3"/>
      <c r="Q60" s="3"/>
      <c r="R60" s="3"/>
      <c r="S60" s="3"/>
      <c r="T60" s="3"/>
      <c r="U60" s="3"/>
      <c r="V60" s="3"/>
    </row>
    <row r="61" spans="1:22" s="5" customFormat="1">
      <c r="A61" s="4" t="s">
        <v>332</v>
      </c>
      <c r="B61" s="23" t="s">
        <v>158</v>
      </c>
      <c r="C61" s="24" t="s">
        <v>170</v>
      </c>
      <c r="D61" s="24" t="s">
        <v>171</v>
      </c>
      <c r="E61" s="24" t="s">
        <v>163</v>
      </c>
      <c r="F61" s="24" t="s">
        <v>20</v>
      </c>
      <c r="G61" s="24">
        <v>2568</v>
      </c>
      <c r="H61" s="24" t="s">
        <v>137</v>
      </c>
      <c r="I61" s="24" t="s">
        <v>333</v>
      </c>
      <c r="J61" s="12"/>
      <c r="K61" s="24">
        <v>2</v>
      </c>
      <c r="L61" s="24">
        <v>2</v>
      </c>
      <c r="M61" s="24">
        <v>2</v>
      </c>
      <c r="N61" s="24"/>
      <c r="O61" s="3"/>
      <c r="P61" s="3"/>
      <c r="Q61" s="3"/>
      <c r="R61" s="3"/>
      <c r="S61" s="3"/>
      <c r="T61" s="3"/>
      <c r="U61" s="3"/>
      <c r="V61" s="3"/>
    </row>
    <row r="62" spans="1:22" s="5" customFormat="1" ht="39" customHeight="1">
      <c r="A62" s="4" t="s">
        <v>332</v>
      </c>
      <c r="B62" s="23" t="s">
        <v>158</v>
      </c>
      <c r="C62" s="24" t="s">
        <v>172</v>
      </c>
      <c r="D62" s="41" t="s">
        <v>173</v>
      </c>
      <c r="E62" s="24" t="s">
        <v>163</v>
      </c>
      <c r="F62" s="24" t="s">
        <v>20</v>
      </c>
      <c r="G62" s="24">
        <v>2568</v>
      </c>
      <c r="H62" s="24" t="s">
        <v>137</v>
      </c>
      <c r="I62" s="24" t="s">
        <v>333</v>
      </c>
      <c r="J62" s="12"/>
      <c r="K62" s="24">
        <v>3</v>
      </c>
      <c r="L62" s="24">
        <v>3</v>
      </c>
      <c r="M62" s="24">
        <v>3</v>
      </c>
      <c r="N62" s="24"/>
      <c r="O62" s="3"/>
      <c r="P62" s="3"/>
      <c r="Q62" s="3"/>
      <c r="R62" s="3"/>
      <c r="S62" s="3"/>
      <c r="T62" s="3"/>
      <c r="U62" s="3"/>
      <c r="V62" s="3"/>
    </row>
    <row r="63" spans="1:22" s="5" customFormat="1" ht="34.5" customHeight="1">
      <c r="A63" s="4" t="s">
        <v>332</v>
      </c>
      <c r="B63" s="23" t="s">
        <v>174</v>
      </c>
      <c r="C63" s="24" t="s">
        <v>175</v>
      </c>
      <c r="D63" s="24" t="s">
        <v>176</v>
      </c>
      <c r="E63" s="24" t="s">
        <v>177</v>
      </c>
      <c r="F63" s="24" t="s">
        <v>20</v>
      </c>
      <c r="G63" s="24">
        <v>2568</v>
      </c>
      <c r="H63" s="44" t="s">
        <v>329</v>
      </c>
      <c r="I63" s="44" t="s">
        <v>334</v>
      </c>
      <c r="J63" s="12"/>
      <c r="K63" s="12"/>
      <c r="L63" s="24">
        <v>0</v>
      </c>
      <c r="M63" s="12"/>
      <c r="N63" s="24"/>
      <c r="O63" s="3"/>
      <c r="P63" s="3"/>
      <c r="Q63" s="3"/>
      <c r="R63" s="3"/>
      <c r="S63" s="3"/>
      <c r="T63" s="3"/>
      <c r="U63" s="3"/>
      <c r="V63" s="3"/>
    </row>
    <row r="64" spans="1:22" s="5" customFormat="1" ht="34.5" customHeight="1">
      <c r="A64" s="4" t="s">
        <v>332</v>
      </c>
      <c r="B64" s="23" t="s">
        <v>178</v>
      </c>
      <c r="C64" s="24" t="s">
        <v>179</v>
      </c>
      <c r="D64" s="41" t="s">
        <v>180</v>
      </c>
      <c r="E64" s="24" t="s">
        <v>181</v>
      </c>
      <c r="F64" s="24" t="s">
        <v>20</v>
      </c>
      <c r="G64" s="24">
        <v>2568</v>
      </c>
      <c r="H64" s="41" t="s">
        <v>330</v>
      </c>
      <c r="I64" s="24" t="s">
        <v>333</v>
      </c>
      <c r="J64" s="12"/>
      <c r="K64" s="12"/>
      <c r="L64" s="24">
        <v>0</v>
      </c>
      <c r="M64" s="12"/>
      <c r="N64" s="24"/>
      <c r="O64" s="3"/>
      <c r="P64" s="3"/>
      <c r="Q64" s="3"/>
      <c r="R64" s="3"/>
      <c r="S64" s="3"/>
      <c r="T64" s="3"/>
      <c r="U64" s="3"/>
      <c r="V64" s="3"/>
    </row>
    <row r="65" spans="1:22" s="5" customFormat="1" ht="41.25" customHeight="1">
      <c r="A65" s="4" t="s">
        <v>332</v>
      </c>
      <c r="B65" s="23" t="s">
        <v>182</v>
      </c>
      <c r="C65" s="24" t="s">
        <v>183</v>
      </c>
      <c r="D65" s="41" t="s">
        <v>184</v>
      </c>
      <c r="E65" s="24" t="s">
        <v>105</v>
      </c>
      <c r="F65" s="24" t="s">
        <v>20</v>
      </c>
      <c r="G65" s="24">
        <v>2568</v>
      </c>
      <c r="H65" s="41" t="s">
        <v>185</v>
      </c>
      <c r="I65" s="41" t="s">
        <v>335</v>
      </c>
      <c r="J65" s="12"/>
      <c r="K65" s="12"/>
      <c r="L65" s="24">
        <v>0</v>
      </c>
      <c r="M65" s="12"/>
      <c r="N65" s="24"/>
      <c r="O65" s="3"/>
      <c r="P65" s="3"/>
      <c r="Q65" s="3"/>
      <c r="R65" s="3"/>
      <c r="S65" s="3"/>
      <c r="T65" s="3"/>
      <c r="U65" s="3"/>
      <c r="V65" s="3"/>
    </row>
    <row r="66" spans="1:22" s="5" customFormat="1" ht="57">
      <c r="A66" s="18" t="s">
        <v>341</v>
      </c>
      <c r="B66" s="23" t="s">
        <v>186</v>
      </c>
      <c r="C66" s="24" t="s">
        <v>187</v>
      </c>
      <c r="D66" s="41" t="s">
        <v>188</v>
      </c>
      <c r="E66" s="48"/>
      <c r="F66" s="12"/>
      <c r="G66" s="12"/>
      <c r="H66" s="12"/>
      <c r="I66" s="12"/>
      <c r="J66" s="12"/>
      <c r="K66" s="12"/>
      <c r="L66" s="12"/>
      <c r="M66" s="12"/>
      <c r="N66" s="12"/>
      <c r="O66" s="3"/>
      <c r="P66" s="3"/>
      <c r="Q66" s="3"/>
      <c r="R66" s="3"/>
      <c r="S66" s="3"/>
      <c r="T66" s="3"/>
      <c r="U66" s="3"/>
      <c r="V66" s="3"/>
    </row>
    <row r="67" spans="1:22" s="5" customFormat="1" ht="41.25" customHeight="1">
      <c r="A67" s="18" t="s">
        <v>341</v>
      </c>
      <c r="B67" s="23" t="s">
        <v>189</v>
      </c>
      <c r="C67" s="24" t="s">
        <v>190</v>
      </c>
      <c r="D67" s="41" t="s">
        <v>191</v>
      </c>
      <c r="E67" s="41" t="s">
        <v>133</v>
      </c>
      <c r="F67" s="24" t="s">
        <v>20</v>
      </c>
      <c r="G67" s="24">
        <v>2568</v>
      </c>
      <c r="H67" s="24" t="s">
        <v>192</v>
      </c>
      <c r="I67" s="41" t="s">
        <v>335</v>
      </c>
      <c r="J67" s="12"/>
      <c r="K67" s="19"/>
      <c r="L67" s="19"/>
      <c r="M67" s="19"/>
      <c r="N67" s="19"/>
      <c r="O67" s="3"/>
      <c r="P67" s="3"/>
      <c r="Q67" s="3"/>
      <c r="R67" s="3"/>
      <c r="S67" s="3"/>
      <c r="T67" s="3"/>
      <c r="U67" s="3"/>
      <c r="V67" s="3"/>
    </row>
    <row r="68" spans="1:22" s="5" customFormat="1" ht="42" customHeight="1">
      <c r="A68" s="18" t="s">
        <v>341</v>
      </c>
      <c r="B68" s="23" t="s">
        <v>193</v>
      </c>
      <c r="C68" s="24" t="s">
        <v>194</v>
      </c>
      <c r="D68" s="41" t="s">
        <v>195</v>
      </c>
      <c r="E68" s="24" t="s">
        <v>133</v>
      </c>
      <c r="F68" s="24" t="s">
        <v>20</v>
      </c>
      <c r="G68" s="24">
        <v>2568</v>
      </c>
      <c r="H68" s="24" t="s">
        <v>192</v>
      </c>
      <c r="I68" s="41" t="s">
        <v>335</v>
      </c>
      <c r="J68" s="25" t="s">
        <v>196</v>
      </c>
      <c r="K68" s="12"/>
      <c r="L68" s="12"/>
      <c r="M68" s="12"/>
      <c r="N68" s="24"/>
      <c r="O68" s="3"/>
      <c r="P68" s="3"/>
      <c r="Q68" s="3"/>
      <c r="R68" s="3"/>
      <c r="S68" s="3"/>
      <c r="T68" s="3"/>
      <c r="U68" s="3"/>
      <c r="V68" s="3"/>
    </row>
    <row r="69" spans="1:22" s="5" customFormat="1" ht="43.5" customHeight="1">
      <c r="A69" s="18" t="s">
        <v>341</v>
      </c>
      <c r="B69" s="23" t="s">
        <v>197</v>
      </c>
      <c r="C69" s="24" t="s">
        <v>198</v>
      </c>
      <c r="D69" s="41" t="s">
        <v>199</v>
      </c>
      <c r="E69" s="24" t="s">
        <v>200</v>
      </c>
      <c r="F69" s="24" t="s">
        <v>20</v>
      </c>
      <c r="G69" s="24">
        <v>2568</v>
      </c>
      <c r="H69" s="24" t="s">
        <v>201</v>
      </c>
      <c r="I69" s="41" t="s">
        <v>335</v>
      </c>
      <c r="J69" s="12"/>
      <c r="K69" s="12"/>
      <c r="L69" s="12"/>
      <c r="M69" s="12"/>
      <c r="N69" s="12"/>
      <c r="O69" s="3"/>
      <c r="P69" s="3"/>
      <c r="Q69" s="3"/>
      <c r="R69" s="3"/>
      <c r="S69" s="3"/>
      <c r="T69" s="3"/>
      <c r="U69" s="3"/>
      <c r="V69" s="3"/>
    </row>
    <row r="70" spans="1:22" s="5" customFormat="1" ht="43.5" customHeight="1">
      <c r="A70" s="18" t="s">
        <v>341</v>
      </c>
      <c r="B70" s="23" t="s">
        <v>202</v>
      </c>
      <c r="C70" s="24" t="s">
        <v>203</v>
      </c>
      <c r="D70" s="41" t="s">
        <v>204</v>
      </c>
      <c r="E70" s="24" t="s">
        <v>47</v>
      </c>
      <c r="F70" s="24" t="s">
        <v>20</v>
      </c>
      <c r="G70" s="24">
        <v>2568</v>
      </c>
      <c r="H70" s="24" t="s">
        <v>205</v>
      </c>
      <c r="I70" s="24" t="s">
        <v>336</v>
      </c>
      <c r="J70" s="12"/>
      <c r="K70" s="12"/>
      <c r="L70" s="12"/>
      <c r="M70" s="12"/>
      <c r="N70" s="12"/>
      <c r="O70" s="3"/>
      <c r="P70" s="3"/>
      <c r="Q70" s="3"/>
      <c r="R70" s="3"/>
      <c r="S70" s="3"/>
      <c r="T70" s="3"/>
      <c r="U70" s="3"/>
      <c r="V70" s="3"/>
    </row>
    <row r="71" spans="1:22" s="5" customFormat="1" ht="43.5" customHeight="1">
      <c r="A71" s="18" t="s">
        <v>341</v>
      </c>
      <c r="B71" s="23" t="s">
        <v>206</v>
      </c>
      <c r="C71" s="24" t="s">
        <v>207</v>
      </c>
      <c r="D71" s="41" t="s">
        <v>208</v>
      </c>
      <c r="E71" s="24" t="s">
        <v>209</v>
      </c>
      <c r="F71" s="24" t="s">
        <v>20</v>
      </c>
      <c r="G71" s="24">
        <v>2568</v>
      </c>
      <c r="H71" s="24" t="s">
        <v>137</v>
      </c>
      <c r="I71" s="24" t="s">
        <v>336</v>
      </c>
      <c r="J71" s="25" t="s">
        <v>210</v>
      </c>
      <c r="K71" s="12"/>
      <c r="L71" s="12"/>
      <c r="M71" s="12"/>
      <c r="N71" s="24"/>
      <c r="O71" s="26"/>
      <c r="P71" s="3"/>
      <c r="Q71" s="3"/>
      <c r="R71" s="3"/>
      <c r="S71" s="3"/>
      <c r="T71" s="3"/>
      <c r="U71" s="3"/>
      <c r="V71" s="3"/>
    </row>
    <row r="72" spans="1:22" s="5" customFormat="1" ht="22.5" customHeight="1">
      <c r="A72" s="18" t="s">
        <v>341</v>
      </c>
      <c r="B72" s="23" t="s">
        <v>211</v>
      </c>
      <c r="C72" s="24" t="s">
        <v>212</v>
      </c>
      <c r="D72" s="24" t="s">
        <v>213</v>
      </c>
      <c r="E72" s="48"/>
      <c r="F72" s="12"/>
      <c r="G72" s="12"/>
      <c r="H72" s="12"/>
      <c r="I72" s="12"/>
      <c r="J72" s="12"/>
      <c r="K72" s="12"/>
      <c r="L72" s="12"/>
      <c r="M72" s="12"/>
      <c r="N72" s="12"/>
      <c r="O72" s="3"/>
      <c r="P72" s="3"/>
      <c r="Q72" s="3"/>
      <c r="R72" s="3"/>
      <c r="S72" s="3"/>
      <c r="T72" s="3"/>
      <c r="U72" s="3"/>
      <c r="V72" s="3"/>
    </row>
    <row r="73" spans="1:22" s="5" customFormat="1" ht="22.5" customHeight="1">
      <c r="A73" s="18" t="s">
        <v>341</v>
      </c>
      <c r="B73" s="40" t="s">
        <v>214</v>
      </c>
      <c r="C73" s="24" t="s">
        <v>215</v>
      </c>
      <c r="D73" s="24" t="s">
        <v>216</v>
      </c>
      <c r="E73" s="24" t="s">
        <v>47</v>
      </c>
      <c r="F73" s="24" t="s">
        <v>20</v>
      </c>
      <c r="G73" s="24">
        <v>2568</v>
      </c>
      <c r="H73" s="24" t="s">
        <v>217</v>
      </c>
      <c r="I73" s="24" t="s">
        <v>337</v>
      </c>
      <c r="J73" s="12"/>
      <c r="K73" s="17"/>
      <c r="L73" s="17"/>
      <c r="M73" s="17"/>
      <c r="N73" s="42" t="e">
        <f>N74/N75*100</f>
        <v>#DIV/0!</v>
      </c>
      <c r="O73" s="3"/>
      <c r="P73" s="3"/>
      <c r="Q73" s="3"/>
      <c r="R73" s="3"/>
      <c r="S73" s="3"/>
      <c r="T73" s="3"/>
      <c r="U73" s="3"/>
      <c r="V73" s="3"/>
    </row>
    <row r="74" spans="1:22" s="5" customFormat="1" ht="22.5" customHeight="1">
      <c r="A74" s="18" t="s">
        <v>341</v>
      </c>
      <c r="B74" s="40" t="s">
        <v>214</v>
      </c>
      <c r="C74" s="24" t="s">
        <v>218</v>
      </c>
      <c r="D74" s="24" t="s">
        <v>219</v>
      </c>
      <c r="E74" s="24" t="s">
        <v>40</v>
      </c>
      <c r="F74" s="24" t="s">
        <v>20</v>
      </c>
      <c r="G74" s="24">
        <v>2568</v>
      </c>
      <c r="H74" s="24" t="s">
        <v>217</v>
      </c>
      <c r="I74" s="24" t="s">
        <v>337</v>
      </c>
      <c r="J74" s="12"/>
      <c r="K74" s="12"/>
      <c r="L74" s="12"/>
      <c r="M74" s="12"/>
      <c r="N74" s="24"/>
      <c r="O74" s="3"/>
      <c r="P74" s="3"/>
      <c r="Q74" s="3"/>
      <c r="R74" s="3"/>
      <c r="S74" s="3"/>
      <c r="T74" s="3"/>
      <c r="U74" s="3"/>
      <c r="V74" s="3"/>
    </row>
    <row r="75" spans="1:22" s="5" customFormat="1" ht="22.5" customHeight="1">
      <c r="A75" s="18" t="s">
        <v>341</v>
      </c>
      <c r="B75" s="40" t="s">
        <v>214</v>
      </c>
      <c r="C75" s="24" t="s">
        <v>220</v>
      </c>
      <c r="D75" s="24" t="s">
        <v>221</v>
      </c>
      <c r="E75" s="24" t="s">
        <v>40</v>
      </c>
      <c r="F75" s="24" t="s">
        <v>20</v>
      </c>
      <c r="G75" s="24">
        <v>2568</v>
      </c>
      <c r="H75" s="24" t="s">
        <v>217</v>
      </c>
      <c r="I75" s="24" t="s">
        <v>337</v>
      </c>
      <c r="J75" s="12"/>
      <c r="K75" s="12"/>
      <c r="L75" s="12"/>
      <c r="M75" s="12"/>
      <c r="N75" s="24"/>
      <c r="O75" s="3"/>
      <c r="P75" s="3"/>
      <c r="Q75" s="3"/>
      <c r="R75" s="3"/>
      <c r="S75" s="3"/>
      <c r="T75" s="3"/>
      <c r="U75" s="3"/>
      <c r="V75" s="3"/>
    </row>
    <row r="76" spans="1:22" s="5" customFormat="1" ht="22.5" customHeight="1">
      <c r="A76" s="18" t="s">
        <v>341</v>
      </c>
      <c r="B76" s="40" t="s">
        <v>222</v>
      </c>
      <c r="C76" s="24" t="s">
        <v>223</v>
      </c>
      <c r="D76" s="24" t="s">
        <v>224</v>
      </c>
      <c r="E76" s="24" t="s">
        <v>47</v>
      </c>
      <c r="F76" s="24" t="s">
        <v>20</v>
      </c>
      <c r="G76" s="24">
        <v>2568</v>
      </c>
      <c r="H76" s="24" t="s">
        <v>217</v>
      </c>
      <c r="I76" s="24" t="s">
        <v>337</v>
      </c>
      <c r="J76" s="12"/>
      <c r="K76" s="17"/>
      <c r="L76" s="17"/>
      <c r="M76" s="17"/>
      <c r="N76" s="42" t="e">
        <f>N77/N78*100</f>
        <v>#DIV/0!</v>
      </c>
      <c r="O76" s="3"/>
      <c r="P76" s="3"/>
      <c r="Q76" s="3"/>
      <c r="R76" s="3"/>
      <c r="S76" s="3"/>
      <c r="T76" s="3"/>
      <c r="U76" s="3"/>
      <c r="V76" s="3"/>
    </row>
    <row r="77" spans="1:22" s="5" customFormat="1" ht="22.5" customHeight="1">
      <c r="A77" s="18" t="s">
        <v>341</v>
      </c>
      <c r="B77" s="40" t="s">
        <v>222</v>
      </c>
      <c r="C77" s="24" t="s">
        <v>225</v>
      </c>
      <c r="D77" s="24" t="s">
        <v>226</v>
      </c>
      <c r="E77" s="24" t="s">
        <v>40</v>
      </c>
      <c r="F77" s="24" t="s">
        <v>20</v>
      </c>
      <c r="G77" s="24">
        <v>2568</v>
      </c>
      <c r="H77" s="24" t="s">
        <v>217</v>
      </c>
      <c r="I77" s="24" t="s">
        <v>337</v>
      </c>
      <c r="J77" s="12"/>
      <c r="K77" s="12"/>
      <c r="L77" s="12"/>
      <c r="M77" s="12"/>
      <c r="N77" s="24"/>
      <c r="O77" s="3"/>
      <c r="P77" s="3"/>
      <c r="Q77" s="3"/>
      <c r="R77" s="3"/>
      <c r="S77" s="3"/>
      <c r="T77" s="3"/>
      <c r="U77" s="3"/>
      <c r="V77" s="3"/>
    </row>
    <row r="78" spans="1:22" s="5" customFormat="1" ht="22.5" customHeight="1">
      <c r="A78" s="18" t="s">
        <v>341</v>
      </c>
      <c r="B78" s="40" t="s">
        <v>222</v>
      </c>
      <c r="C78" s="24" t="s">
        <v>227</v>
      </c>
      <c r="D78" s="24" t="s">
        <v>228</v>
      </c>
      <c r="E78" s="24" t="s">
        <v>40</v>
      </c>
      <c r="F78" s="24" t="s">
        <v>20</v>
      </c>
      <c r="G78" s="24">
        <v>2568</v>
      </c>
      <c r="H78" s="24" t="s">
        <v>217</v>
      </c>
      <c r="I78" s="24" t="s">
        <v>337</v>
      </c>
      <c r="J78" s="12"/>
      <c r="K78" s="12"/>
      <c r="L78" s="12"/>
      <c r="M78" s="12"/>
      <c r="N78" s="24"/>
      <c r="O78" s="3"/>
      <c r="P78" s="3"/>
      <c r="Q78" s="3"/>
      <c r="R78" s="3"/>
      <c r="S78" s="3"/>
      <c r="T78" s="3"/>
      <c r="U78" s="3"/>
      <c r="V78" s="3"/>
    </row>
    <row r="79" spans="1:22" s="5" customFormat="1" ht="22.5" customHeight="1">
      <c r="A79" s="18" t="s">
        <v>341</v>
      </c>
      <c r="B79" s="23" t="s">
        <v>229</v>
      </c>
      <c r="C79" s="24" t="s">
        <v>230</v>
      </c>
      <c r="D79" s="24" t="s">
        <v>231</v>
      </c>
      <c r="E79" s="48" t="s">
        <v>47</v>
      </c>
      <c r="F79" s="20"/>
      <c r="G79" s="20"/>
      <c r="H79" s="12"/>
      <c r="I79" s="12"/>
      <c r="J79" s="12"/>
      <c r="K79" s="12"/>
      <c r="L79" s="12"/>
      <c r="M79" s="12"/>
      <c r="N79" s="12"/>
      <c r="O79" s="3"/>
      <c r="P79" s="3"/>
      <c r="Q79" s="3"/>
      <c r="R79" s="3"/>
      <c r="S79" s="3"/>
      <c r="T79" s="3"/>
      <c r="U79" s="3"/>
      <c r="V79" s="3"/>
    </row>
    <row r="80" spans="1:22" s="5" customFormat="1" ht="70.5" customHeight="1">
      <c r="A80" s="18" t="s">
        <v>341</v>
      </c>
      <c r="B80" s="23" t="s">
        <v>232</v>
      </c>
      <c r="C80" s="24" t="s">
        <v>233</v>
      </c>
      <c r="D80" s="41" t="s">
        <v>234</v>
      </c>
      <c r="E80" s="24" t="s">
        <v>47</v>
      </c>
      <c r="F80" s="24" t="s">
        <v>20</v>
      </c>
      <c r="G80" s="24">
        <v>2568</v>
      </c>
      <c r="H80" s="41" t="s">
        <v>235</v>
      </c>
      <c r="I80" s="41"/>
      <c r="J80" s="12"/>
      <c r="K80" s="24" t="s">
        <v>236</v>
      </c>
      <c r="L80" s="24" t="s">
        <v>236</v>
      </c>
      <c r="M80" s="24" t="s">
        <v>236</v>
      </c>
      <c r="N80" s="24"/>
      <c r="O80" s="3"/>
      <c r="P80" s="3"/>
      <c r="Q80" s="3"/>
      <c r="R80" s="3"/>
      <c r="S80" s="3"/>
      <c r="T80" s="3"/>
      <c r="U80" s="3"/>
      <c r="V80" s="3"/>
    </row>
    <row r="81" spans="1:22" s="5" customFormat="1" ht="43.5" customHeight="1">
      <c r="A81" s="18" t="s">
        <v>341</v>
      </c>
      <c r="B81" s="23" t="s">
        <v>237</v>
      </c>
      <c r="C81" s="24" t="s">
        <v>238</v>
      </c>
      <c r="D81" s="41" t="s">
        <v>239</v>
      </c>
      <c r="E81" s="24" t="s">
        <v>47</v>
      </c>
      <c r="F81" s="24" t="s">
        <v>20</v>
      </c>
      <c r="G81" s="24">
        <v>2568</v>
      </c>
      <c r="H81" s="41" t="s">
        <v>240</v>
      </c>
      <c r="I81" s="45" t="s">
        <v>338</v>
      </c>
      <c r="J81" s="12"/>
      <c r="K81" s="24" t="s">
        <v>236</v>
      </c>
      <c r="L81" s="24" t="s">
        <v>236</v>
      </c>
      <c r="M81" s="24" t="s">
        <v>236</v>
      </c>
      <c r="N81" s="24"/>
      <c r="O81" s="3"/>
      <c r="P81" s="3"/>
      <c r="Q81" s="3"/>
      <c r="R81" s="3"/>
      <c r="S81" s="3"/>
      <c r="T81" s="3"/>
      <c r="U81" s="3"/>
      <c r="V81" s="3"/>
    </row>
    <row r="82" spans="1:22" s="5" customFormat="1" ht="44.25" customHeight="1">
      <c r="A82" s="18" t="s">
        <v>341</v>
      </c>
      <c r="B82" s="40" t="s">
        <v>241</v>
      </c>
      <c r="C82" s="24" t="s">
        <v>242</v>
      </c>
      <c r="D82" s="41" t="s">
        <v>243</v>
      </c>
      <c r="E82" s="24" t="s">
        <v>47</v>
      </c>
      <c r="F82" s="24" t="s">
        <v>20</v>
      </c>
      <c r="G82" s="24">
        <v>2568</v>
      </c>
      <c r="H82" s="41" t="s">
        <v>240</v>
      </c>
      <c r="I82" s="45" t="s">
        <v>338</v>
      </c>
      <c r="J82" s="12"/>
      <c r="K82" s="42">
        <f t="shared" ref="K82:N82" si="8">K83/K84*100</f>
        <v>25</v>
      </c>
      <c r="L82" s="42">
        <f t="shared" si="8"/>
        <v>75</v>
      </c>
      <c r="M82" s="42">
        <f t="shared" si="8"/>
        <v>100</v>
      </c>
      <c r="N82" s="42" t="e">
        <f t="shared" si="8"/>
        <v>#DIV/0!</v>
      </c>
      <c r="O82" s="3"/>
      <c r="P82" s="3"/>
      <c r="Q82" s="3"/>
      <c r="R82" s="3"/>
      <c r="S82" s="3"/>
      <c r="T82" s="3"/>
      <c r="U82" s="3"/>
      <c r="V82" s="3"/>
    </row>
    <row r="83" spans="1:22" s="5" customFormat="1" ht="22.5" customHeight="1">
      <c r="A83" s="18" t="s">
        <v>341</v>
      </c>
      <c r="B83" s="40" t="s">
        <v>241</v>
      </c>
      <c r="C83" s="24" t="s">
        <v>244</v>
      </c>
      <c r="D83" s="24" t="s">
        <v>245</v>
      </c>
      <c r="E83" s="24" t="s">
        <v>40</v>
      </c>
      <c r="F83" s="24" t="s">
        <v>20</v>
      </c>
      <c r="G83" s="24">
        <v>2568</v>
      </c>
      <c r="H83" s="41" t="s">
        <v>240</v>
      </c>
      <c r="I83" s="45" t="s">
        <v>338</v>
      </c>
      <c r="J83" s="12"/>
      <c r="K83" s="24">
        <v>1</v>
      </c>
      <c r="L83" s="24">
        <v>3</v>
      </c>
      <c r="M83" s="24">
        <v>4</v>
      </c>
      <c r="N83" s="24"/>
      <c r="O83" s="3"/>
      <c r="P83" s="3"/>
      <c r="Q83" s="3"/>
      <c r="R83" s="3"/>
      <c r="S83" s="3"/>
      <c r="T83" s="3"/>
      <c r="U83" s="3"/>
      <c r="V83" s="3"/>
    </row>
    <row r="84" spans="1:22" s="5" customFormat="1" ht="22.5" customHeight="1">
      <c r="A84" s="18" t="s">
        <v>341</v>
      </c>
      <c r="B84" s="40" t="s">
        <v>241</v>
      </c>
      <c r="C84" s="24" t="s">
        <v>246</v>
      </c>
      <c r="D84" s="24" t="s">
        <v>247</v>
      </c>
      <c r="E84" s="24" t="s">
        <v>40</v>
      </c>
      <c r="F84" s="24" t="s">
        <v>20</v>
      </c>
      <c r="G84" s="24">
        <v>2568</v>
      </c>
      <c r="H84" s="41" t="s">
        <v>240</v>
      </c>
      <c r="I84" s="45" t="s">
        <v>338</v>
      </c>
      <c r="J84" s="12"/>
      <c r="K84" s="24">
        <v>4</v>
      </c>
      <c r="L84" s="24">
        <v>4</v>
      </c>
      <c r="M84" s="24">
        <v>4</v>
      </c>
      <c r="N84" s="24"/>
      <c r="O84" s="3"/>
      <c r="P84" s="3"/>
      <c r="Q84" s="3"/>
      <c r="R84" s="3"/>
      <c r="S84" s="3"/>
      <c r="T84" s="3"/>
      <c r="U84" s="3"/>
      <c r="V84" s="3"/>
    </row>
    <row r="85" spans="1:22" s="5" customFormat="1" ht="22.5" customHeight="1">
      <c r="A85" s="18" t="s">
        <v>341</v>
      </c>
      <c r="B85" s="23" t="s">
        <v>249</v>
      </c>
      <c r="C85" s="24" t="s">
        <v>250</v>
      </c>
      <c r="D85" s="24" t="s">
        <v>251</v>
      </c>
      <c r="E85" s="48"/>
      <c r="F85" s="12"/>
      <c r="G85" s="12"/>
      <c r="H85" s="12"/>
      <c r="I85" s="12"/>
      <c r="J85" s="12"/>
      <c r="K85" s="12"/>
      <c r="L85" s="12"/>
      <c r="M85" s="12"/>
      <c r="N85" s="12"/>
      <c r="O85" s="3"/>
      <c r="P85" s="3"/>
      <c r="Q85" s="3"/>
      <c r="R85" s="3"/>
      <c r="S85" s="3"/>
      <c r="T85" s="3"/>
      <c r="U85" s="3"/>
      <c r="V85" s="3"/>
    </row>
    <row r="86" spans="1:22" s="5" customFormat="1" ht="22.5" customHeight="1">
      <c r="A86" s="18" t="s">
        <v>341</v>
      </c>
      <c r="B86" s="23" t="s">
        <v>252</v>
      </c>
      <c r="C86" s="24" t="s">
        <v>253</v>
      </c>
      <c r="D86" s="24" t="s">
        <v>254</v>
      </c>
      <c r="E86" s="24" t="s">
        <v>47</v>
      </c>
      <c r="F86" s="24" t="s">
        <v>20</v>
      </c>
      <c r="G86" s="24">
        <v>2568</v>
      </c>
      <c r="H86" s="24" t="s">
        <v>248</v>
      </c>
      <c r="I86" s="47" t="s">
        <v>335</v>
      </c>
      <c r="J86" s="25">
        <v>90</v>
      </c>
      <c r="K86" s="24"/>
      <c r="L86" s="24"/>
      <c r="M86" s="24"/>
      <c r="N86" s="24"/>
      <c r="O86" s="3"/>
      <c r="P86" s="3"/>
      <c r="Q86" s="3"/>
      <c r="R86" s="3"/>
      <c r="S86" s="3"/>
      <c r="T86" s="3"/>
      <c r="U86" s="3"/>
      <c r="V86" s="3"/>
    </row>
    <row r="87" spans="1:22" s="5" customFormat="1" ht="22.5" customHeight="1">
      <c r="A87" s="18" t="s">
        <v>341</v>
      </c>
      <c r="B87" s="23" t="s">
        <v>255</v>
      </c>
      <c r="C87" s="24" t="s">
        <v>256</v>
      </c>
      <c r="D87" s="24" t="s">
        <v>257</v>
      </c>
      <c r="E87" s="24" t="s">
        <v>47</v>
      </c>
      <c r="F87" s="24" t="s">
        <v>20</v>
      </c>
      <c r="G87" s="24">
        <v>2568</v>
      </c>
      <c r="H87" s="24" t="s">
        <v>248</v>
      </c>
      <c r="I87" s="47" t="s">
        <v>335</v>
      </c>
      <c r="J87" s="25">
        <v>80</v>
      </c>
      <c r="K87" s="24"/>
      <c r="L87" s="24"/>
      <c r="M87" s="24"/>
      <c r="N87" s="24"/>
      <c r="O87" s="3"/>
      <c r="P87" s="3"/>
      <c r="Q87" s="3"/>
      <c r="R87" s="3"/>
      <c r="S87" s="3"/>
      <c r="T87" s="3"/>
      <c r="U87" s="3"/>
      <c r="V87" s="3"/>
    </row>
    <row r="88" spans="1:22" s="5" customFormat="1" ht="22.5" customHeight="1">
      <c r="A88" s="18" t="s">
        <v>341</v>
      </c>
      <c r="B88" s="23" t="s">
        <v>258</v>
      </c>
      <c r="C88" s="24" t="s">
        <v>259</v>
      </c>
      <c r="D88" s="24" t="s">
        <v>260</v>
      </c>
      <c r="E88" s="48"/>
      <c r="F88" s="12"/>
      <c r="G88" s="12"/>
      <c r="H88" s="12"/>
      <c r="I88" s="12"/>
      <c r="J88" s="12"/>
      <c r="K88" s="12"/>
      <c r="L88" s="12"/>
      <c r="M88" s="12"/>
      <c r="N88" s="12"/>
      <c r="O88" s="3"/>
      <c r="P88" s="3"/>
      <c r="Q88" s="3"/>
      <c r="R88" s="3"/>
      <c r="S88" s="3"/>
      <c r="T88" s="3"/>
      <c r="U88" s="3"/>
      <c r="V88" s="3"/>
    </row>
    <row r="89" spans="1:22" s="5" customFormat="1" ht="22.5" customHeight="1">
      <c r="A89" s="18" t="s">
        <v>341</v>
      </c>
      <c r="B89" s="23" t="s">
        <v>261</v>
      </c>
      <c r="C89" s="24" t="s">
        <v>262</v>
      </c>
      <c r="D89" s="24" t="s">
        <v>263</v>
      </c>
      <c r="E89" s="24" t="s">
        <v>32</v>
      </c>
      <c r="F89" s="24" t="s">
        <v>20</v>
      </c>
      <c r="G89" s="24">
        <v>2568</v>
      </c>
      <c r="H89" s="24" t="s">
        <v>264</v>
      </c>
      <c r="I89" s="24" t="s">
        <v>336</v>
      </c>
      <c r="J89" s="25" t="s">
        <v>265</v>
      </c>
      <c r="K89" s="24" t="s">
        <v>265</v>
      </c>
      <c r="L89" s="24" t="s">
        <v>265</v>
      </c>
      <c r="M89" s="24" t="s">
        <v>265</v>
      </c>
      <c r="N89" s="24"/>
      <c r="O89" s="3"/>
      <c r="P89" s="3"/>
      <c r="Q89" s="3"/>
      <c r="R89" s="3"/>
      <c r="S89" s="3"/>
      <c r="T89" s="3"/>
      <c r="U89" s="3"/>
      <c r="V89" s="3"/>
    </row>
    <row r="90" spans="1:22" s="5" customFormat="1" ht="22.5" customHeight="1">
      <c r="A90" s="18" t="s">
        <v>341</v>
      </c>
      <c r="B90" s="23" t="s">
        <v>266</v>
      </c>
      <c r="C90" s="24" t="s">
        <v>267</v>
      </c>
      <c r="D90" s="24" t="s">
        <v>268</v>
      </c>
      <c r="E90" s="24" t="s">
        <v>32</v>
      </c>
      <c r="F90" s="24" t="s">
        <v>20</v>
      </c>
      <c r="G90" s="24">
        <v>2568</v>
      </c>
      <c r="H90" s="24" t="s">
        <v>264</v>
      </c>
      <c r="I90" s="24" t="s">
        <v>336</v>
      </c>
      <c r="J90" s="25" t="s">
        <v>265</v>
      </c>
      <c r="K90" s="24" t="s">
        <v>265</v>
      </c>
      <c r="L90" s="24" t="s">
        <v>265</v>
      </c>
      <c r="M90" s="24" t="s">
        <v>265</v>
      </c>
      <c r="N90" s="24"/>
      <c r="O90" s="3"/>
      <c r="P90" s="3"/>
      <c r="Q90" s="3"/>
      <c r="R90" s="3"/>
      <c r="S90" s="3"/>
      <c r="T90" s="3"/>
      <c r="U90" s="3"/>
      <c r="V90" s="3"/>
    </row>
    <row r="91" spans="1:22" s="5" customFormat="1" ht="22.5" customHeight="1">
      <c r="A91" s="18" t="s">
        <v>341</v>
      </c>
      <c r="B91" s="23" t="s">
        <v>269</v>
      </c>
      <c r="C91" s="24" t="s">
        <v>270</v>
      </c>
      <c r="D91" s="24" t="s">
        <v>271</v>
      </c>
      <c r="E91" s="24" t="s">
        <v>47</v>
      </c>
      <c r="F91" s="24" t="s">
        <v>20</v>
      </c>
      <c r="G91" s="24">
        <v>2568</v>
      </c>
      <c r="H91" s="24" t="s">
        <v>264</v>
      </c>
      <c r="I91" s="24" t="s">
        <v>336</v>
      </c>
      <c r="J91" s="25">
        <v>5</v>
      </c>
      <c r="K91" s="42">
        <v>5.8</v>
      </c>
      <c r="L91" s="42">
        <v>7.09</v>
      </c>
      <c r="M91" s="42">
        <v>14.56</v>
      </c>
      <c r="N91" s="42"/>
      <c r="O91" s="3"/>
      <c r="P91" s="3"/>
      <c r="Q91" s="3"/>
      <c r="R91" s="3"/>
      <c r="S91" s="3"/>
      <c r="T91" s="3"/>
      <c r="U91" s="3"/>
      <c r="V91" s="3"/>
    </row>
    <row r="92" spans="1:22" s="5" customFormat="1" ht="22.5" customHeight="1">
      <c r="A92" s="18" t="s">
        <v>341</v>
      </c>
      <c r="B92" s="23" t="s">
        <v>272</v>
      </c>
      <c r="C92" s="24" t="s">
        <v>273</v>
      </c>
      <c r="D92" s="24" t="s">
        <v>274</v>
      </c>
      <c r="E92" s="24" t="s">
        <v>47</v>
      </c>
      <c r="F92" s="24" t="s">
        <v>20</v>
      </c>
      <c r="G92" s="24">
        <v>2568</v>
      </c>
      <c r="H92" s="24" t="s">
        <v>264</v>
      </c>
      <c r="I92" s="24" t="s">
        <v>336</v>
      </c>
      <c r="J92" s="25">
        <v>2</v>
      </c>
      <c r="K92" s="42">
        <v>1.92</v>
      </c>
      <c r="L92" s="42">
        <v>18.38</v>
      </c>
      <c r="M92" s="42">
        <v>13.9</v>
      </c>
      <c r="N92" s="42"/>
      <c r="O92" s="3"/>
      <c r="P92" s="3"/>
      <c r="Q92" s="3"/>
      <c r="R92" s="3"/>
      <c r="S92" s="3"/>
      <c r="T92" s="3"/>
      <c r="U92" s="3"/>
      <c r="V92" s="3"/>
    </row>
    <row r="93" spans="1:22" s="5" customFormat="1" ht="44.25" customHeight="1">
      <c r="A93" s="18" t="s">
        <v>341</v>
      </c>
      <c r="B93" s="40" t="s">
        <v>275</v>
      </c>
      <c r="C93" s="24" t="s">
        <v>276</v>
      </c>
      <c r="D93" s="41" t="s">
        <v>277</v>
      </c>
      <c r="E93" s="24" t="s">
        <v>47</v>
      </c>
      <c r="F93" s="24" t="s">
        <v>20</v>
      </c>
      <c r="G93" s="24">
        <v>2568</v>
      </c>
      <c r="H93" s="24" t="s">
        <v>278</v>
      </c>
      <c r="I93" s="24" t="s">
        <v>339</v>
      </c>
      <c r="J93" s="25">
        <v>36.36</v>
      </c>
      <c r="K93" s="42">
        <f t="shared" ref="K93:N93" si="9">K94/K95*100</f>
        <v>18.181818181818183</v>
      </c>
      <c r="L93" s="42">
        <f t="shared" si="9"/>
        <v>18.181818181818183</v>
      </c>
      <c r="M93" s="42">
        <f t="shared" si="9"/>
        <v>40.909090909090914</v>
      </c>
      <c r="N93" s="42" t="e">
        <f t="shared" si="9"/>
        <v>#DIV/0!</v>
      </c>
      <c r="O93" s="3"/>
      <c r="P93" s="3"/>
      <c r="Q93" s="3"/>
      <c r="R93" s="3"/>
      <c r="S93" s="3"/>
      <c r="T93" s="3"/>
      <c r="U93" s="3"/>
      <c r="V93" s="3"/>
    </row>
    <row r="94" spans="1:22" s="5" customFormat="1" ht="22.5" customHeight="1">
      <c r="A94" s="18" t="s">
        <v>341</v>
      </c>
      <c r="B94" s="40" t="s">
        <v>275</v>
      </c>
      <c r="C94" s="24" t="s">
        <v>279</v>
      </c>
      <c r="D94" s="24" t="s">
        <v>280</v>
      </c>
      <c r="E94" s="24" t="s">
        <v>281</v>
      </c>
      <c r="F94" s="24" t="s">
        <v>20</v>
      </c>
      <c r="G94" s="24">
        <v>2568</v>
      </c>
      <c r="H94" s="24" t="s">
        <v>278</v>
      </c>
      <c r="I94" s="24" t="s">
        <v>339</v>
      </c>
      <c r="J94" s="25">
        <v>8</v>
      </c>
      <c r="K94" s="24">
        <v>4</v>
      </c>
      <c r="L94" s="24">
        <v>4</v>
      </c>
      <c r="M94" s="24">
        <v>9</v>
      </c>
      <c r="N94" s="24"/>
      <c r="O94" s="3"/>
      <c r="P94" s="3"/>
      <c r="Q94" s="3"/>
      <c r="R94" s="3"/>
      <c r="S94" s="3"/>
      <c r="T94" s="3"/>
      <c r="U94" s="3"/>
      <c r="V94" s="3"/>
    </row>
    <row r="95" spans="1:22" s="5" customFormat="1" ht="22.5" customHeight="1">
      <c r="A95" s="18" t="s">
        <v>341</v>
      </c>
      <c r="B95" s="40" t="s">
        <v>275</v>
      </c>
      <c r="C95" s="24" t="s">
        <v>282</v>
      </c>
      <c r="D95" s="24" t="s">
        <v>283</v>
      </c>
      <c r="E95" s="24" t="s">
        <v>281</v>
      </c>
      <c r="F95" s="24" t="s">
        <v>20</v>
      </c>
      <c r="G95" s="24">
        <v>2568</v>
      </c>
      <c r="H95" s="24" t="s">
        <v>278</v>
      </c>
      <c r="I95" s="24" t="s">
        <v>339</v>
      </c>
      <c r="J95" s="25">
        <v>22</v>
      </c>
      <c r="K95" s="24">
        <v>22</v>
      </c>
      <c r="L95" s="24">
        <v>22</v>
      </c>
      <c r="M95" s="24">
        <v>22</v>
      </c>
      <c r="N95" s="24"/>
      <c r="O95" s="3"/>
      <c r="P95" s="3"/>
      <c r="Q95" s="3"/>
      <c r="R95" s="3"/>
      <c r="S95" s="3"/>
      <c r="T95" s="3"/>
      <c r="U95" s="3"/>
      <c r="V95" s="3"/>
    </row>
    <row r="96" spans="1:22" s="5" customFormat="1" ht="22.5" customHeight="1">
      <c r="A96" s="18" t="s">
        <v>341</v>
      </c>
      <c r="B96" s="23" t="s">
        <v>284</v>
      </c>
      <c r="C96" s="24" t="s">
        <v>285</v>
      </c>
      <c r="D96" s="24" t="s">
        <v>286</v>
      </c>
      <c r="E96" s="24" t="s">
        <v>47</v>
      </c>
      <c r="F96" s="24" t="s">
        <v>20</v>
      </c>
      <c r="G96" s="24">
        <v>2568</v>
      </c>
      <c r="H96" s="24" t="s">
        <v>217</v>
      </c>
      <c r="I96" s="24" t="s">
        <v>337</v>
      </c>
      <c r="J96" s="12"/>
      <c r="K96" s="12"/>
      <c r="L96" s="12"/>
      <c r="M96" s="12"/>
      <c r="N96" s="24"/>
      <c r="O96" s="3"/>
      <c r="P96" s="3"/>
      <c r="Q96" s="3"/>
      <c r="R96" s="3"/>
      <c r="S96" s="3"/>
      <c r="T96" s="3"/>
      <c r="U96" s="3"/>
      <c r="V96" s="3"/>
    </row>
    <row r="97" spans="1:22" s="5" customFormat="1" ht="43.5" customHeight="1">
      <c r="A97" s="18" t="s">
        <v>341</v>
      </c>
      <c r="B97" s="23" t="s">
        <v>287</v>
      </c>
      <c r="C97" s="24" t="s">
        <v>288</v>
      </c>
      <c r="D97" s="41" t="s">
        <v>289</v>
      </c>
      <c r="E97" s="48"/>
      <c r="F97" s="12"/>
      <c r="G97" s="12"/>
      <c r="H97" s="12"/>
      <c r="I97" s="12"/>
      <c r="J97" s="12"/>
      <c r="K97" s="12"/>
      <c r="L97" s="12"/>
      <c r="M97" s="12"/>
      <c r="N97" s="12"/>
      <c r="O97" s="3"/>
      <c r="P97" s="3"/>
      <c r="Q97" s="3"/>
      <c r="R97" s="3"/>
      <c r="S97" s="3"/>
      <c r="T97" s="3"/>
      <c r="U97" s="3"/>
      <c r="V97" s="3"/>
    </row>
    <row r="98" spans="1:22" s="5" customFormat="1" ht="43.5" customHeight="1">
      <c r="A98" s="18" t="s">
        <v>341</v>
      </c>
      <c r="B98" s="40" t="s">
        <v>290</v>
      </c>
      <c r="C98" s="24" t="s">
        <v>291</v>
      </c>
      <c r="D98" s="24" t="s">
        <v>292</v>
      </c>
      <c r="E98" s="41" t="s">
        <v>293</v>
      </c>
      <c r="F98" s="24" t="s">
        <v>20</v>
      </c>
      <c r="G98" s="24">
        <v>2568</v>
      </c>
      <c r="H98" s="41" t="s">
        <v>185</v>
      </c>
      <c r="I98" s="45" t="s">
        <v>340</v>
      </c>
      <c r="J98" s="12"/>
      <c r="K98" s="42">
        <f t="shared" ref="K98:N98" si="10">K99/(K100*K101)*100</f>
        <v>8.7390761548064924E-2</v>
      </c>
      <c r="L98" s="42">
        <f t="shared" si="10"/>
        <v>8.3749957487331237</v>
      </c>
      <c r="M98" s="42">
        <f t="shared" si="10"/>
        <v>11.095431351607926</v>
      </c>
      <c r="N98" s="42" t="e">
        <f t="shared" si="10"/>
        <v>#DIV/0!</v>
      </c>
      <c r="O98" s="3"/>
      <c r="P98" s="3"/>
      <c r="Q98" s="3"/>
      <c r="R98" s="3"/>
      <c r="S98" s="3"/>
      <c r="T98" s="3"/>
      <c r="U98" s="3"/>
      <c r="V98" s="3"/>
    </row>
    <row r="99" spans="1:22" s="5" customFormat="1" ht="22.5" customHeight="1">
      <c r="A99" s="18" t="s">
        <v>341</v>
      </c>
      <c r="B99" s="40" t="s">
        <v>290</v>
      </c>
      <c r="C99" s="24" t="s">
        <v>294</v>
      </c>
      <c r="D99" s="24" t="s">
        <v>295</v>
      </c>
      <c r="E99" s="24" t="s">
        <v>296</v>
      </c>
      <c r="F99" s="24" t="s">
        <v>20</v>
      </c>
      <c r="G99" s="24">
        <v>2568</v>
      </c>
      <c r="H99" s="41" t="s">
        <v>185</v>
      </c>
      <c r="I99" s="45" t="s">
        <v>340</v>
      </c>
      <c r="J99" s="12"/>
      <c r="K99" s="42">
        <v>3.5</v>
      </c>
      <c r="L99" s="25">
        <v>14775</v>
      </c>
      <c r="M99" s="42">
        <v>23375.3</v>
      </c>
      <c r="N99" s="42"/>
      <c r="O99" s="3"/>
      <c r="P99" s="3"/>
      <c r="Q99" s="3"/>
      <c r="R99" s="3"/>
      <c r="S99" s="3"/>
      <c r="T99" s="3"/>
      <c r="U99" s="3"/>
      <c r="V99" s="3"/>
    </row>
    <row r="100" spans="1:22" s="5" customFormat="1" ht="22.5" customHeight="1">
      <c r="A100" s="18" t="s">
        <v>341</v>
      </c>
      <c r="B100" s="40" t="s">
        <v>290</v>
      </c>
      <c r="C100" s="24" t="s">
        <v>297</v>
      </c>
      <c r="D100" s="24" t="s">
        <v>298</v>
      </c>
      <c r="E100" s="24" t="s">
        <v>40</v>
      </c>
      <c r="F100" s="24" t="s">
        <v>20</v>
      </c>
      <c r="G100" s="24">
        <v>2568</v>
      </c>
      <c r="H100" s="41" t="s">
        <v>185</v>
      </c>
      <c r="I100" s="24" t="s">
        <v>337</v>
      </c>
      <c r="J100" s="12"/>
      <c r="K100" s="25">
        <v>801</v>
      </c>
      <c r="L100" s="25">
        <v>726</v>
      </c>
      <c r="M100" s="25">
        <v>795</v>
      </c>
      <c r="N100" s="25"/>
      <c r="O100" s="3"/>
      <c r="P100" s="3"/>
      <c r="Q100" s="3"/>
      <c r="R100" s="3"/>
      <c r="S100" s="3"/>
      <c r="T100" s="3"/>
      <c r="U100" s="3"/>
      <c r="V100" s="3"/>
    </row>
    <row r="101" spans="1:22" s="5" customFormat="1" ht="22.5" customHeight="1">
      <c r="A101" s="18" t="s">
        <v>341</v>
      </c>
      <c r="B101" s="40" t="s">
        <v>290</v>
      </c>
      <c r="C101" s="24" t="s">
        <v>299</v>
      </c>
      <c r="D101" s="24" t="s">
        <v>300</v>
      </c>
      <c r="E101" s="24" t="s">
        <v>200</v>
      </c>
      <c r="F101" s="24" t="s">
        <v>20</v>
      </c>
      <c r="G101" s="24">
        <v>2568</v>
      </c>
      <c r="H101" s="41" t="s">
        <v>185</v>
      </c>
      <c r="I101" s="24" t="s">
        <v>337</v>
      </c>
      <c r="J101" s="12"/>
      <c r="K101" s="25">
        <v>5</v>
      </c>
      <c r="L101" s="25">
        <v>243</v>
      </c>
      <c r="M101" s="25">
        <v>265</v>
      </c>
      <c r="N101" s="25"/>
      <c r="O101" s="3"/>
      <c r="P101" s="3"/>
      <c r="Q101" s="3"/>
      <c r="R101" s="3"/>
      <c r="S101" s="3"/>
      <c r="T101" s="3"/>
      <c r="U101" s="3"/>
      <c r="V101" s="3"/>
    </row>
    <row r="102" spans="1:22" s="5" customFormat="1" ht="22.5" customHeight="1">
      <c r="A102" s="18" t="s">
        <v>341</v>
      </c>
      <c r="B102" s="40" t="s">
        <v>301</v>
      </c>
      <c r="C102" s="24" t="s">
        <v>302</v>
      </c>
      <c r="D102" s="24" t="s">
        <v>303</v>
      </c>
      <c r="E102" s="24" t="s">
        <v>47</v>
      </c>
      <c r="F102" s="24" t="s">
        <v>20</v>
      </c>
      <c r="G102" s="24">
        <v>2568</v>
      </c>
      <c r="H102" s="41" t="s">
        <v>185</v>
      </c>
      <c r="I102" s="45" t="s">
        <v>340</v>
      </c>
      <c r="J102" s="12"/>
      <c r="K102" s="42">
        <f t="shared" ref="K102:N102" si="11">K103/K104*100</f>
        <v>5.6899004267425317</v>
      </c>
      <c r="L102" s="42">
        <f t="shared" si="11"/>
        <v>4.9778120779471351</v>
      </c>
      <c r="M102" s="42">
        <f t="shared" si="11"/>
        <v>4.9718883012240687</v>
      </c>
      <c r="N102" s="42" t="e">
        <f t="shared" si="11"/>
        <v>#DIV/0!</v>
      </c>
      <c r="O102" s="3"/>
      <c r="P102" s="3"/>
      <c r="Q102" s="3"/>
      <c r="R102" s="3"/>
      <c r="S102" s="3"/>
      <c r="T102" s="3"/>
      <c r="U102" s="3"/>
      <c r="V102" s="3"/>
    </row>
    <row r="103" spans="1:22" s="5" customFormat="1" ht="22.5" customHeight="1">
      <c r="A103" s="18" t="s">
        <v>341</v>
      </c>
      <c r="B103" s="40" t="s">
        <v>301</v>
      </c>
      <c r="C103" s="24" t="s">
        <v>304</v>
      </c>
      <c r="D103" s="24" t="s">
        <v>305</v>
      </c>
      <c r="E103" s="24" t="s">
        <v>296</v>
      </c>
      <c r="F103" s="24" t="s">
        <v>20</v>
      </c>
      <c r="G103" s="24">
        <v>2568</v>
      </c>
      <c r="H103" s="41" t="s">
        <v>185</v>
      </c>
      <c r="I103" s="45" t="s">
        <v>340</v>
      </c>
      <c r="J103" s="12"/>
      <c r="K103" s="25">
        <v>160</v>
      </c>
      <c r="L103" s="25">
        <v>774</v>
      </c>
      <c r="M103" s="42">
        <v>1223</v>
      </c>
      <c r="N103" s="42"/>
      <c r="O103" s="3"/>
      <c r="P103" s="3"/>
      <c r="Q103" s="3"/>
      <c r="R103" s="3"/>
      <c r="S103" s="3"/>
      <c r="T103" s="3"/>
      <c r="U103" s="3"/>
      <c r="V103" s="3"/>
    </row>
    <row r="104" spans="1:22" s="5" customFormat="1" ht="22.5" customHeight="1">
      <c r="A104" s="18" t="s">
        <v>341</v>
      </c>
      <c r="B104" s="40" t="s">
        <v>301</v>
      </c>
      <c r="C104" s="24" t="s">
        <v>306</v>
      </c>
      <c r="D104" s="24" t="s">
        <v>307</v>
      </c>
      <c r="E104" s="24" t="s">
        <v>296</v>
      </c>
      <c r="F104" s="24" t="s">
        <v>20</v>
      </c>
      <c r="G104" s="24">
        <v>2568</v>
      </c>
      <c r="H104" s="41" t="s">
        <v>185</v>
      </c>
      <c r="I104" s="45" t="s">
        <v>340</v>
      </c>
      <c r="J104" s="12"/>
      <c r="K104" s="25">
        <v>2812</v>
      </c>
      <c r="L104" s="25">
        <v>15549</v>
      </c>
      <c r="M104" s="42">
        <v>24598.3</v>
      </c>
      <c r="N104" s="42"/>
      <c r="O104" s="3"/>
      <c r="P104" s="3"/>
      <c r="Q104" s="3"/>
      <c r="R104" s="3"/>
      <c r="S104" s="3"/>
      <c r="T104" s="3"/>
      <c r="U104" s="3"/>
      <c r="V104" s="3"/>
    </row>
    <row r="105" spans="1:22" s="5" customFormat="1" ht="22.5" customHeight="1">
      <c r="A105" s="18" t="s">
        <v>341</v>
      </c>
      <c r="B105" s="23" t="s">
        <v>308</v>
      </c>
      <c r="C105" s="24" t="s">
        <v>309</v>
      </c>
      <c r="D105" s="24" t="s">
        <v>310</v>
      </c>
      <c r="E105" s="41" t="e">
        <f>"KgCO"&amp;CHAR(8322)&amp;"e/คน/วัน"</f>
        <v>#VALUE!</v>
      </c>
      <c r="F105" s="24" t="s">
        <v>20</v>
      </c>
      <c r="G105" s="24">
        <v>2568</v>
      </c>
      <c r="H105" s="41" t="s">
        <v>185</v>
      </c>
      <c r="I105" s="45" t="s">
        <v>340</v>
      </c>
      <c r="J105" s="12"/>
      <c r="K105" s="46">
        <f t="shared" ref="K105:N105" si="12">K106/(K100*K101)*100</f>
        <v>18.362796504369534</v>
      </c>
      <c r="L105" s="46">
        <f t="shared" si="12"/>
        <v>0.63730458343252949</v>
      </c>
      <c r="M105" s="46">
        <f t="shared" si="12"/>
        <v>0.57137296784146197</v>
      </c>
      <c r="N105" s="46" t="e">
        <f t="shared" si="12"/>
        <v>#DIV/0!</v>
      </c>
      <c r="O105" s="3"/>
      <c r="P105" s="3"/>
      <c r="Q105" s="3"/>
      <c r="R105" s="3"/>
      <c r="S105" s="3"/>
      <c r="T105" s="3"/>
      <c r="U105" s="3"/>
      <c r="V105" s="3"/>
    </row>
    <row r="106" spans="1:22" s="5" customFormat="1" ht="22.5" customHeight="1">
      <c r="A106" s="18" t="s">
        <v>341</v>
      </c>
      <c r="B106" s="23" t="s">
        <v>308</v>
      </c>
      <c r="C106" s="24" t="s">
        <v>311</v>
      </c>
      <c r="D106" s="24" t="s">
        <v>312</v>
      </c>
      <c r="E106" s="24" t="e">
        <f>"KgCO"&amp;CHAR(8322)&amp;"e"</f>
        <v>#VALUE!</v>
      </c>
      <c r="F106" s="24" t="s">
        <v>20</v>
      </c>
      <c r="G106" s="24">
        <v>2568</v>
      </c>
      <c r="H106" s="41" t="s">
        <v>185</v>
      </c>
      <c r="I106" s="45" t="s">
        <v>340</v>
      </c>
      <c r="J106" s="12"/>
      <c r="K106" s="42">
        <v>735.43</v>
      </c>
      <c r="L106" s="42">
        <v>1124.32</v>
      </c>
      <c r="M106" s="42">
        <v>1203.74</v>
      </c>
      <c r="N106" s="42"/>
      <c r="O106" s="3"/>
      <c r="P106" s="3"/>
      <c r="Q106" s="3"/>
      <c r="R106" s="3"/>
      <c r="S106" s="3"/>
      <c r="T106" s="3"/>
      <c r="U106" s="3"/>
      <c r="V106" s="3"/>
    </row>
    <row r="107" spans="1:22" s="5" customFormat="1" ht="44.25" customHeight="1">
      <c r="A107" s="18" t="s">
        <v>341</v>
      </c>
      <c r="B107" s="23" t="s">
        <v>313</v>
      </c>
      <c r="C107" s="24" t="s">
        <v>314</v>
      </c>
      <c r="D107" s="41" t="s">
        <v>315</v>
      </c>
      <c r="E107" s="24" t="s">
        <v>47</v>
      </c>
      <c r="F107" s="24" t="s">
        <v>20</v>
      </c>
      <c r="G107" s="24">
        <v>2568</v>
      </c>
      <c r="H107" s="24" t="s">
        <v>316</v>
      </c>
      <c r="I107" s="24" t="s">
        <v>336</v>
      </c>
      <c r="J107" s="12"/>
      <c r="K107" s="12"/>
      <c r="L107" s="24">
        <v>-0.26</v>
      </c>
      <c r="M107" s="12"/>
      <c r="N107" s="24"/>
      <c r="O107" s="6"/>
      <c r="P107" s="3"/>
      <c r="Q107" s="3"/>
      <c r="R107" s="3"/>
      <c r="S107" s="3"/>
      <c r="T107" s="3"/>
      <c r="U107" s="3"/>
      <c r="V107" s="3"/>
    </row>
    <row r="108" spans="1:22" s="5" customFormat="1" ht="22.5" customHeight="1">
      <c r="A108" s="18" t="s">
        <v>341</v>
      </c>
      <c r="B108" s="23" t="s">
        <v>317</v>
      </c>
      <c r="C108" s="24" t="s">
        <v>318</v>
      </c>
      <c r="D108" s="24" t="s">
        <v>319</v>
      </c>
      <c r="E108" s="48"/>
      <c r="F108" s="12"/>
      <c r="G108" s="12"/>
      <c r="H108" s="12"/>
      <c r="I108" s="12"/>
      <c r="J108" s="12"/>
      <c r="K108" s="12"/>
      <c r="L108" s="12"/>
      <c r="M108" s="12"/>
      <c r="N108" s="12"/>
      <c r="O108" s="3"/>
      <c r="P108" s="3"/>
      <c r="Q108" s="3"/>
      <c r="R108" s="3"/>
      <c r="S108" s="3"/>
      <c r="T108" s="3"/>
      <c r="U108" s="3"/>
      <c r="V108" s="3"/>
    </row>
    <row r="109" spans="1:22" s="5" customFormat="1" ht="22.5" customHeight="1">
      <c r="A109" s="18" t="s">
        <v>341</v>
      </c>
      <c r="B109" s="23" t="s">
        <v>320</v>
      </c>
      <c r="C109" s="24" t="s">
        <v>321</v>
      </c>
      <c r="D109" s="24" t="s">
        <v>322</v>
      </c>
      <c r="E109" s="24" t="s">
        <v>133</v>
      </c>
      <c r="F109" s="24" t="s">
        <v>20</v>
      </c>
      <c r="G109" s="24">
        <v>2568</v>
      </c>
      <c r="H109" s="24" t="s">
        <v>217</v>
      </c>
      <c r="I109" s="24" t="s">
        <v>337</v>
      </c>
      <c r="J109" s="12"/>
      <c r="K109" s="12"/>
      <c r="L109" s="12"/>
      <c r="M109" s="12"/>
      <c r="N109" s="24"/>
      <c r="O109" s="3"/>
      <c r="P109" s="3"/>
      <c r="Q109" s="3"/>
      <c r="R109" s="3"/>
      <c r="S109" s="3"/>
      <c r="T109" s="3"/>
      <c r="U109" s="3"/>
      <c r="V109" s="3"/>
    </row>
    <row r="110" spans="1:22" s="5" customFormat="1" ht="22.5" customHeight="1">
      <c r="A110" s="18" t="s">
        <v>341</v>
      </c>
      <c r="B110" s="23" t="s">
        <v>323</v>
      </c>
      <c r="C110" s="24" t="s">
        <v>324</v>
      </c>
      <c r="D110" s="24" t="s">
        <v>325</v>
      </c>
      <c r="E110" s="24" t="s">
        <v>133</v>
      </c>
      <c r="F110" s="24" t="s">
        <v>20</v>
      </c>
      <c r="G110" s="24">
        <v>2568</v>
      </c>
      <c r="H110" s="24" t="s">
        <v>217</v>
      </c>
      <c r="I110" s="24" t="s">
        <v>337</v>
      </c>
      <c r="J110" s="12"/>
      <c r="K110" s="12"/>
      <c r="L110" s="12"/>
      <c r="M110" s="12"/>
      <c r="N110" s="24"/>
      <c r="O110" s="3"/>
      <c r="P110" s="3"/>
      <c r="Q110" s="3"/>
      <c r="R110" s="3"/>
      <c r="S110" s="3"/>
      <c r="T110" s="3"/>
      <c r="U110" s="3"/>
      <c r="V110" s="3"/>
    </row>
    <row r="111" spans="1:22" s="5" customFormat="1">
      <c r="A111" s="18"/>
      <c r="B111" s="21"/>
      <c r="C111" s="18"/>
      <c r="D111" s="18"/>
      <c r="E111" s="18"/>
      <c r="F111" s="18"/>
      <c r="G111" s="18"/>
      <c r="H111" s="18"/>
      <c r="I111" s="4"/>
      <c r="J111" s="4"/>
      <c r="K111" s="4"/>
      <c r="L111" s="4"/>
      <c r="M111" s="4"/>
      <c r="N111" s="4"/>
      <c r="O111" s="3"/>
      <c r="P111" s="3"/>
      <c r="Q111" s="3"/>
      <c r="R111" s="3"/>
      <c r="S111" s="3"/>
      <c r="T111" s="3"/>
    </row>
    <row r="112" spans="1:22" s="3" customForma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s="3" customForma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s="3" customForma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s="3" customForma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s="3" customForma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 s="3" customForma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s="3" customForma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s="3" customForma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s="3" customForma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 s="3" customForma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s="3" customForma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s="3" customForma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s="3" customForma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s="3" customForma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s="3" customForma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s="3" customForma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s="3" customForma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s="3" customForma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s="3" customForma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s="3" customForma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s="3" customForma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s="3" customForma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s="3" customForma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</sheetData>
  <dataValidations disablePrompts="1" count="2">
    <dataValidation type="list" allowBlank="1" showErrorMessage="1" sqref="N71" xr:uid="{C1E6CD6F-5124-46ED-BB8A-2F5712820B09}">
      <formula1>"มี,ไม่มี"</formula1>
    </dataValidation>
    <dataValidation type="list" allowBlank="1" showErrorMessage="1" sqref="K89:N90" xr:uid="{B7F132F5-2F9A-4381-A252-1D824579EE00}">
      <formula1>"เป็นบวก,เป็นลบ"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6B0D-110F-4B93-80D9-E25106009AAB}">
  <dimension ref="A1:N2"/>
  <sheetViews>
    <sheetView tabSelected="1" workbookViewId="0">
      <selection activeCell="F4" sqref="F4"/>
    </sheetView>
  </sheetViews>
  <sheetFormatPr defaultRowHeight="16.5"/>
  <cols>
    <col min="1" max="1" width="20.19921875" style="54" bestFit="1" customWidth="1"/>
    <col min="2" max="2" width="5.3984375" style="54" bestFit="1" customWidth="1"/>
    <col min="3" max="3" width="17" style="54" bestFit="1" customWidth="1"/>
    <col min="4" max="4" width="42.19921875" style="54" bestFit="1" customWidth="1"/>
    <col min="5" max="5" width="6.796875" style="54" bestFit="1" customWidth="1"/>
    <col min="6" max="6" width="12.796875" style="54" bestFit="1" customWidth="1"/>
    <col min="7" max="7" width="7.796875" style="54" bestFit="1" customWidth="1"/>
    <col min="8" max="8" width="35" style="54" bestFit="1" customWidth="1"/>
    <col min="9" max="9" width="15" style="54" bestFit="1" customWidth="1"/>
    <col min="10" max="10" width="9.796875" style="54" bestFit="1" customWidth="1"/>
    <col min="11" max="14" width="13" style="54" bestFit="1" customWidth="1"/>
    <col min="15" max="16384" width="9.59765625" style="54"/>
  </cols>
  <sheetData>
    <row r="1" spans="1:14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50" t="s">
        <v>10</v>
      </c>
      <c r="L1" s="51" t="s">
        <v>11</v>
      </c>
      <c r="M1" s="52" t="s">
        <v>12</v>
      </c>
      <c r="N1" s="53" t="s">
        <v>13</v>
      </c>
    </row>
    <row r="2" spans="1:14">
      <c r="A2" s="44" t="s">
        <v>22</v>
      </c>
      <c r="B2" s="55" t="s">
        <v>23</v>
      </c>
      <c r="C2" s="41" t="s">
        <v>14</v>
      </c>
      <c r="D2" s="41" t="s">
        <v>15</v>
      </c>
      <c r="E2" s="41" t="s">
        <v>16</v>
      </c>
      <c r="F2" s="44" t="s">
        <v>19</v>
      </c>
      <c r="G2" s="44">
        <v>2568</v>
      </c>
      <c r="H2" s="44" t="s">
        <v>17</v>
      </c>
      <c r="I2" s="44" t="s">
        <v>21</v>
      </c>
      <c r="J2" s="56">
        <v>60</v>
      </c>
      <c r="K2" s="56" t="s">
        <v>33</v>
      </c>
      <c r="L2" s="56">
        <v>25</v>
      </c>
      <c r="M2" s="56">
        <v>45</v>
      </c>
      <c r="N2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MasterProject2568</vt:lpstr>
      <vt:lpstr>MasterProject2569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Sasiwimon</dc:creator>
  <cp:lastModifiedBy>Sasiwimon Tumsiripong</cp:lastModifiedBy>
  <dcterms:created xsi:type="dcterms:W3CDTF">2025-07-18T08:08:41Z</dcterms:created>
  <dcterms:modified xsi:type="dcterms:W3CDTF">2026-02-11T07:35:19Z</dcterms:modified>
</cp:coreProperties>
</file>